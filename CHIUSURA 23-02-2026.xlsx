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6.xml" ContentType="application/vnd.openxmlformats-officedocument.spreadsheetml.pivotTab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7.xml" ContentType="application/vnd.openxmlformats-officedocument.spreadsheetml.pivotTab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18.xml" ContentType="application/vnd.openxmlformats-officedocument.spreadsheetml.pivotTab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9.xml" ContentType="application/vnd.openxmlformats-officedocument.spreadsheetml.pivotTab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20.xml" ContentType="application/vnd.openxmlformats-officedocument.spreadsheetml.pivotTab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21.xml" ContentType="application/vnd.openxmlformats-officedocument.spreadsheetml.pivotTab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pivotTables/pivotTable22.xml" ContentType="application/vnd.openxmlformats-officedocument.spreadsheetml.pivotTab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pivotTables/pivotTable23.xml" ContentType="application/vnd.openxmlformats-officedocument.spreadsheetml.pivotTab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pivotTables/pivotTable24.xml" ContentType="application/vnd.openxmlformats-officedocument.spreadsheetml.pivotTab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pivotTables/pivotTable25.xml" ContentType="application/vnd.openxmlformats-officedocument.spreadsheetml.pivotTab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pivotTables/pivotTable26.xml" ContentType="application/vnd.openxmlformats-officedocument.spreadsheetml.pivotTab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Utente\Desktop\PENTA\Chiusure\GIORNALIERE\PER DASHBOARD\"/>
    </mc:Choice>
  </mc:AlternateContent>
  <xr:revisionPtr revIDLastSave="0" documentId="8_{32BA99E5-3A3F-417E-AB58-CC71CC67A5CB}" xr6:coauthVersionLast="47" xr6:coauthVersionMax="47" xr10:uidLastSave="{00000000-0000-0000-0000-000000000000}"/>
  <bookViews>
    <workbookView xWindow="-120" yWindow="-120" windowWidth="29040" windowHeight="15720" tabRatio="800" activeTab="28" xr2:uid="{00000000-000D-0000-FFFF-FFFF00000000}"/>
  </bookViews>
  <sheets>
    <sheet name="CHIUSURA" sheetId="2" r:id="rId1"/>
    <sheet name="Pivot_Antipasti_Qta" sheetId="31" state="hidden" r:id="rId2"/>
    <sheet name="Pivot_Dolci_Qta" sheetId="19" state="hidden" r:id="rId3"/>
    <sheet name="Pivot_Cat_€" sheetId="21" state="hidden" r:id="rId4"/>
    <sheet name="Pivot_Prod_€" sheetId="24" state="hidden" r:id="rId5"/>
    <sheet name="Pivot_Primi_Qta" sheetId="25" state="hidden" r:id="rId6"/>
    <sheet name="Pivot_Secondi_Qta " sheetId="26" state="hidden" r:id="rId7"/>
    <sheet name="Pivot_Pizze_Qta" sheetId="27" state="hidden" r:id="rId8"/>
    <sheet name="Pivot_Hamburger_Qta" sheetId="28" state="hidden" r:id="rId9"/>
    <sheet name="Margine_Cat." sheetId="29" state="hidden" r:id="rId10"/>
    <sheet name="Pivot_Caffetteria_Qta" sheetId="32" state="hidden" r:id="rId11"/>
    <sheet name="Pivot_Vini_Bianchi_Qta" sheetId="33" state="hidden" r:id="rId12"/>
    <sheet name="Pivot_Spumanti_Prosecco_Qta" sheetId="34" state="hidden" r:id="rId13"/>
    <sheet name="MARGINE_DRINK" sheetId="35" state="hidden" r:id="rId14"/>
    <sheet name="MARGINE_PRIMI" sheetId="36" state="hidden" r:id="rId15"/>
    <sheet name="MARGINE_SECONDI" sheetId="37" state="hidden" r:id="rId16"/>
    <sheet name="MARGINE_PIZZE" sheetId="38" state="hidden" r:id="rId17"/>
    <sheet name="MARGINE_HAMBURGER" sheetId="39" state="hidden" r:id="rId18"/>
    <sheet name="MARGINE_ANTIPASTI" sheetId="40" state="hidden" r:id="rId19"/>
    <sheet name="MARGINE_DOLCI" sheetId="41" state="hidden" r:id="rId20"/>
    <sheet name="MARGINE_CAFFETTERIA" sheetId="42" state="hidden" r:id="rId21"/>
    <sheet name="MARGINE_VINI_BIANCHI" sheetId="43" state="hidden" r:id="rId22"/>
    <sheet name="MARGINE_VINI_ROSSI_ROSATI" sheetId="44" state="hidden" r:id="rId23"/>
    <sheet name="MARGINE_SPUMANTI_PROSECCO" sheetId="45" state="hidden" r:id="rId24"/>
    <sheet name="PIVOT CAT QTA" sheetId="48" state="hidden" r:id="rId25"/>
    <sheet name="BIRRA" sheetId="46" state="hidden" r:id="rId26"/>
    <sheet name="BIRRA_MARGINE" sheetId="47" state="hidden" r:id="rId27"/>
    <sheet name="FOOD-DRINK COST" sheetId="3" r:id="rId28"/>
    <sheet name="COSTI" sheetId="9" r:id="rId29"/>
  </sheets>
  <definedNames>
    <definedName name="_xlnm._FilterDatabase" localSheetId="27" hidden="1">'FOOD-DRINK COST'!$A$1:$E$1</definedName>
    <definedName name="FiltroDati_CATEGORIA">#REF!</definedName>
    <definedName name="FiltroDati_PRODOTTO">#REF!</definedName>
  </definedNames>
  <calcPr calcId="191029"/>
  <pivotCaches>
    <pivotCache cacheId="0" r:id="rId30"/>
    <pivotCache cacheId="1" r:id="rId3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" i="2" l="1"/>
  <c r="E71" i="2"/>
  <c r="E72" i="2"/>
  <c r="E73" i="2"/>
  <c r="G70" i="2"/>
  <c r="G71" i="2"/>
  <c r="G72" i="2"/>
  <c r="G73" i="2"/>
  <c r="H70" i="2"/>
  <c r="H71" i="2"/>
  <c r="H72" i="2"/>
  <c r="H73" i="2"/>
  <c r="I70" i="2"/>
  <c r="I71" i="2"/>
  <c r="I72" i="2"/>
  <c r="I73" i="2"/>
  <c r="K70" i="2"/>
  <c r="L70" i="2" s="1"/>
  <c r="K71" i="2"/>
  <c r="K72" i="2"/>
  <c r="K73" i="2"/>
  <c r="M73" i="2" s="1"/>
  <c r="N73" i="2" s="1"/>
  <c r="L71" i="2"/>
  <c r="M71" i="2" s="1"/>
  <c r="N71" i="2" s="1"/>
  <c r="L72" i="2"/>
  <c r="M72" i="2"/>
  <c r="N72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2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K48" i="2"/>
  <c r="L48" i="2" s="1"/>
  <c r="K49" i="2"/>
  <c r="L49" i="2" s="1"/>
  <c r="K50" i="2"/>
  <c r="L50" i="2" s="1"/>
  <c r="K51" i="2"/>
  <c r="L51" i="2" s="1"/>
  <c r="K52" i="2"/>
  <c r="L52" i="2" s="1"/>
  <c r="K53" i="2"/>
  <c r="L53" i="2" s="1"/>
  <c r="K54" i="2"/>
  <c r="L54" i="2" s="1"/>
  <c r="K55" i="2"/>
  <c r="L55" i="2" s="1"/>
  <c r="K56" i="2"/>
  <c r="L56" i="2" s="1"/>
  <c r="K57" i="2"/>
  <c r="L57" i="2" s="1"/>
  <c r="K58" i="2"/>
  <c r="L58" i="2" s="1"/>
  <c r="K59" i="2"/>
  <c r="L59" i="2" s="1"/>
  <c r="K60" i="2"/>
  <c r="K61" i="2"/>
  <c r="K62" i="2"/>
  <c r="K63" i="2"/>
  <c r="L63" i="2" s="1"/>
  <c r="K64" i="2"/>
  <c r="L64" i="2" s="1"/>
  <c r="K65" i="2"/>
  <c r="L65" i="2" s="1"/>
  <c r="K66" i="2"/>
  <c r="L66" i="2" s="1"/>
  <c r="K67" i="2"/>
  <c r="L67" i="2" s="1"/>
  <c r="K68" i="2"/>
  <c r="L68" i="2" s="1"/>
  <c r="K69" i="2"/>
  <c r="L69" i="2" s="1"/>
  <c r="C5" i="9"/>
  <c r="E37" i="2"/>
  <c r="E38" i="2"/>
  <c r="E39" i="2"/>
  <c r="E40" i="2"/>
  <c r="E41" i="2"/>
  <c r="E42" i="2"/>
  <c r="E43" i="2"/>
  <c r="E44" i="2"/>
  <c r="E45" i="2"/>
  <c r="E46" i="2"/>
  <c r="E47" i="2"/>
  <c r="G37" i="2"/>
  <c r="G38" i="2"/>
  <c r="G39" i="2"/>
  <c r="G40" i="2"/>
  <c r="G41" i="2"/>
  <c r="G42" i="2"/>
  <c r="G43" i="2"/>
  <c r="G44" i="2"/>
  <c r="G45" i="2"/>
  <c r="G46" i="2"/>
  <c r="G47" i="2"/>
  <c r="H37" i="2"/>
  <c r="H38" i="2"/>
  <c r="H39" i="2"/>
  <c r="H40" i="2"/>
  <c r="H41" i="2"/>
  <c r="H42" i="2"/>
  <c r="H43" i="2"/>
  <c r="H44" i="2"/>
  <c r="H45" i="2"/>
  <c r="H46" i="2"/>
  <c r="H47" i="2"/>
  <c r="K37" i="2"/>
  <c r="L37" i="2" s="1"/>
  <c r="K38" i="2"/>
  <c r="K39" i="2"/>
  <c r="L39" i="2" s="1"/>
  <c r="K40" i="2"/>
  <c r="L40" i="2" s="1"/>
  <c r="K41" i="2"/>
  <c r="L41" i="2" s="1"/>
  <c r="K42" i="2"/>
  <c r="L42" i="2" s="1"/>
  <c r="K43" i="2"/>
  <c r="L43" i="2" s="1"/>
  <c r="K44" i="2"/>
  <c r="K45" i="2"/>
  <c r="L45" i="2" s="1"/>
  <c r="K46" i="2"/>
  <c r="L46" i="2" s="1"/>
  <c r="K47" i="2"/>
  <c r="L47" i="2" s="1"/>
  <c r="E3" i="2"/>
  <c r="F74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A15" i="9"/>
  <c r="A12" i="9"/>
  <c r="A11" i="9"/>
  <c r="A10" i="9"/>
  <c r="A14" i="9"/>
  <c r="A13" i="9"/>
  <c r="A16" i="9"/>
  <c r="E19" i="9"/>
  <c r="A17" i="9"/>
  <c r="C4" i="9"/>
  <c r="C3" i="9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E280" i="3"/>
  <c r="E286" i="3"/>
  <c r="E283" i="3"/>
  <c r="E282" i="3"/>
  <c r="E281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4" i="3"/>
  <c r="E243" i="3"/>
  <c r="E242" i="3"/>
  <c r="E241" i="3"/>
  <c r="E240" i="3"/>
  <c r="E215" i="3"/>
  <c r="E214" i="3"/>
  <c r="F258" i="3"/>
  <c r="E258" i="3" s="1"/>
  <c r="E160" i="3"/>
  <c r="E159" i="3"/>
  <c r="E158" i="3"/>
  <c r="E157" i="3"/>
  <c r="E156" i="3"/>
  <c r="E144" i="3"/>
  <c r="D303" i="9"/>
  <c r="D20" i="9"/>
  <c r="D58" i="9"/>
  <c r="D109" i="9"/>
  <c r="D119" i="9"/>
  <c r="D124" i="9"/>
  <c r="D137" i="9"/>
  <c r="D184" i="9"/>
  <c r="C17" i="9"/>
  <c r="B17" i="9"/>
  <c r="C16" i="9"/>
  <c r="B16" i="9"/>
  <c r="C15" i="9"/>
  <c r="B15" i="9"/>
  <c r="C14" i="9"/>
  <c r="C13" i="9"/>
  <c r="C12" i="9"/>
  <c r="C11" i="9"/>
  <c r="C10" i="9"/>
  <c r="B14" i="9"/>
  <c r="B13" i="9"/>
  <c r="B12" i="9"/>
  <c r="B11" i="9"/>
  <c r="B10" i="9"/>
  <c r="L73" i="2" l="1"/>
  <c r="M70" i="2"/>
  <c r="N70" i="2" s="1"/>
  <c r="M69" i="2"/>
  <c r="N69" i="2" s="1"/>
  <c r="M68" i="2"/>
  <c r="N68" i="2" s="1"/>
  <c r="M56" i="2"/>
  <c r="N56" i="2" s="1"/>
  <c r="M49" i="2"/>
  <c r="N49" i="2" s="1"/>
  <c r="M48" i="2"/>
  <c r="N48" i="2" s="1"/>
  <c r="M66" i="2"/>
  <c r="N66" i="2" s="1"/>
  <c r="M58" i="2"/>
  <c r="N58" i="2" s="1"/>
  <c r="M67" i="2"/>
  <c r="N67" i="2" s="1"/>
  <c r="M50" i="2"/>
  <c r="N50" i="2" s="1"/>
  <c r="M53" i="2"/>
  <c r="N53" i="2" s="1"/>
  <c r="M57" i="2"/>
  <c r="N57" i="2" s="1"/>
  <c r="M51" i="2"/>
  <c r="N51" i="2" s="1"/>
  <c r="M52" i="2"/>
  <c r="N52" i="2" s="1"/>
  <c r="M55" i="2"/>
  <c r="N55" i="2" s="1"/>
  <c r="M54" i="2"/>
  <c r="N54" i="2" s="1"/>
  <c r="M59" i="2"/>
  <c r="N59" i="2" s="1"/>
  <c r="L62" i="2"/>
  <c r="M62" i="2" s="1"/>
  <c r="N62" i="2" s="1"/>
  <c r="L61" i="2"/>
  <c r="M61" i="2" s="1"/>
  <c r="N61" i="2" s="1"/>
  <c r="L60" i="2"/>
  <c r="M60" i="2" s="1"/>
  <c r="N60" i="2" s="1"/>
  <c r="M65" i="2"/>
  <c r="N65" i="2" s="1"/>
  <c r="M64" i="2"/>
  <c r="N64" i="2" s="1"/>
  <c r="M63" i="2"/>
  <c r="N63" i="2" s="1"/>
  <c r="L38" i="2"/>
  <c r="M38" i="2" s="1"/>
  <c r="N38" i="2" s="1"/>
  <c r="M37" i="2"/>
  <c r="N37" i="2" s="1"/>
  <c r="M42" i="2"/>
  <c r="N42" i="2" s="1"/>
  <c r="M41" i="2"/>
  <c r="N41" i="2" s="1"/>
  <c r="M43" i="2"/>
  <c r="N43" i="2" s="1"/>
  <c r="M46" i="2"/>
  <c r="N46" i="2" s="1"/>
  <c r="M45" i="2"/>
  <c r="N45" i="2" s="1"/>
  <c r="L44" i="2"/>
  <c r="M44" i="2" s="1"/>
  <c r="N44" i="2" s="1"/>
  <c r="M40" i="2"/>
  <c r="N40" i="2" s="1"/>
  <c r="M39" i="2"/>
  <c r="N39" i="2" s="1"/>
  <c r="M47" i="2"/>
  <c r="N47" i="2" s="1"/>
  <c r="G74" i="2"/>
  <c r="H74" i="2"/>
  <c r="E17" i="9"/>
  <c r="C18" i="9"/>
  <c r="B18" i="9"/>
  <c r="E16" i="9"/>
  <c r="E13" i="9"/>
  <c r="E14" i="9"/>
  <c r="E15" i="9"/>
  <c r="E12" i="9"/>
  <c r="E11" i="9"/>
  <c r="E10" i="9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140" i="3"/>
  <c r="E111" i="3"/>
  <c r="E94" i="3"/>
  <c r="E93" i="3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18" i="9" l="1"/>
  <c r="I74" i="2" l="1"/>
  <c r="E209" i="3"/>
  <c r="E207" i="3"/>
  <c r="J72" i="2" l="1"/>
  <c r="J73" i="2"/>
  <c r="J71" i="2"/>
  <c r="J70" i="2"/>
  <c r="J65" i="2"/>
  <c r="J62" i="2"/>
  <c r="J63" i="2"/>
  <c r="J49" i="2"/>
  <c r="J52" i="2"/>
  <c r="J48" i="2"/>
  <c r="J50" i="2"/>
  <c r="J51" i="2"/>
  <c r="J53" i="2"/>
  <c r="J54" i="2"/>
  <c r="J55" i="2"/>
  <c r="J57" i="2"/>
  <c r="J58" i="2"/>
  <c r="J64" i="2"/>
  <c r="J60" i="2"/>
  <c r="J59" i="2"/>
  <c r="J56" i="2"/>
  <c r="J68" i="2"/>
  <c r="J67" i="2"/>
  <c r="J66" i="2"/>
  <c r="J69" i="2"/>
  <c r="J61" i="2"/>
  <c r="J37" i="2"/>
  <c r="J38" i="2"/>
  <c r="J39" i="2"/>
  <c r="J40" i="2"/>
  <c r="J41" i="2"/>
  <c r="J45" i="2"/>
  <c r="J43" i="2"/>
  <c r="J42" i="2"/>
  <c r="J47" i="2"/>
  <c r="J46" i="2"/>
  <c r="J44" i="2"/>
  <c r="J35" i="2"/>
  <c r="J14" i="2"/>
  <c r="J15" i="2"/>
  <c r="J16" i="2"/>
  <c r="J17" i="2"/>
  <c r="J18" i="2"/>
  <c r="J30" i="2"/>
  <c r="J31" i="2"/>
  <c r="J32" i="2"/>
  <c r="J29" i="2"/>
  <c r="J27" i="2"/>
  <c r="J33" i="2"/>
  <c r="J34" i="2"/>
  <c r="J25" i="2"/>
  <c r="J26" i="2"/>
  <c r="J28" i="2"/>
  <c r="J19" i="2"/>
  <c r="J6" i="2"/>
  <c r="J20" i="2"/>
  <c r="J7" i="2"/>
  <c r="J21" i="2"/>
  <c r="J22" i="2"/>
  <c r="J23" i="2"/>
  <c r="J9" i="2"/>
  <c r="J24" i="2"/>
  <c r="J10" i="2"/>
  <c r="J3" i="2"/>
  <c r="J4" i="2"/>
  <c r="J11" i="2"/>
  <c r="J36" i="2"/>
  <c r="J2" i="2"/>
  <c r="J5" i="2"/>
  <c r="J12" i="2"/>
  <c r="J13" i="2"/>
  <c r="J8" i="2"/>
  <c r="K2" i="2"/>
  <c r="E42" i="3"/>
  <c r="K5" i="2"/>
  <c r="K7" i="2"/>
  <c r="K12" i="2"/>
  <c r="E155" i="3"/>
  <c r="E127" i="3"/>
  <c r="E138" i="3"/>
  <c r="E130" i="3"/>
  <c r="E125" i="3"/>
  <c r="E137" i="3"/>
  <c r="E70" i="3"/>
  <c r="E45" i="3"/>
  <c r="E44" i="3"/>
  <c r="E49" i="3"/>
  <c r="E48" i="3"/>
  <c r="E47" i="3"/>
  <c r="E213" i="3"/>
  <c r="E290" i="3"/>
  <c r="E289" i="3"/>
  <c r="E288" i="3"/>
  <c r="E287" i="3"/>
  <c r="E285" i="3"/>
  <c r="E284" i="3"/>
  <c r="E212" i="3"/>
  <c r="E211" i="3"/>
  <c r="E206" i="3"/>
  <c r="E204" i="3"/>
  <c r="E202" i="3"/>
  <c r="E201" i="3"/>
  <c r="E199" i="3"/>
  <c r="E197" i="3"/>
  <c r="E193" i="3"/>
  <c r="E191" i="3"/>
  <c r="E189" i="3"/>
  <c r="E188" i="3"/>
  <c r="E203" i="3"/>
  <c r="E198" i="3"/>
  <c r="E194" i="3"/>
  <c r="E192" i="3"/>
  <c r="E143" i="3"/>
  <c r="E142" i="3"/>
  <c r="E141" i="3"/>
  <c r="E139" i="3"/>
  <c r="E161" i="3"/>
  <c r="E163" i="3"/>
  <c r="E162" i="3"/>
  <c r="E134" i="3"/>
  <c r="E133" i="3"/>
  <c r="E132" i="3"/>
  <c r="E131" i="3"/>
  <c r="E128" i="3"/>
  <c r="E118" i="3"/>
  <c r="E119" i="3"/>
  <c r="E121" i="3"/>
  <c r="E135" i="3"/>
  <c r="E129" i="3"/>
  <c r="E126" i="3"/>
  <c r="E124" i="3"/>
  <c r="E123" i="3"/>
  <c r="E122" i="3"/>
  <c r="E120" i="3"/>
  <c r="E117" i="3"/>
  <c r="E116" i="3"/>
  <c r="E115" i="3"/>
  <c r="E114" i="3"/>
  <c r="E113" i="3"/>
  <c r="E112" i="3"/>
  <c r="E110" i="3"/>
  <c r="E109" i="3"/>
  <c r="E108" i="3"/>
  <c r="E106" i="3"/>
  <c r="E105" i="3"/>
  <c r="E103" i="3"/>
  <c r="E102" i="3"/>
  <c r="E101" i="3"/>
  <c r="E100" i="3"/>
  <c r="E99" i="3"/>
  <c r="E98" i="3"/>
  <c r="E95" i="3"/>
  <c r="K35" i="2"/>
  <c r="E92" i="3"/>
  <c r="E91" i="3"/>
  <c r="E90" i="3"/>
  <c r="E89" i="3"/>
  <c r="E88" i="3"/>
  <c r="D77" i="3"/>
  <c r="E77" i="3" s="1"/>
  <c r="E75" i="3"/>
  <c r="E73" i="3"/>
  <c r="E71" i="3"/>
  <c r="E69" i="3"/>
  <c r="E68" i="3"/>
  <c r="E65" i="3"/>
  <c r="E64" i="3"/>
  <c r="E63" i="3"/>
  <c r="E62" i="3"/>
  <c r="E61" i="3"/>
  <c r="E60" i="3"/>
  <c r="E58" i="3"/>
  <c r="E57" i="3"/>
  <c r="E56" i="3"/>
  <c r="K31" i="2" s="1"/>
  <c r="E53" i="3"/>
  <c r="E50" i="3"/>
  <c r="E41" i="3"/>
  <c r="E40" i="3"/>
  <c r="E38" i="3"/>
  <c r="E37" i="3"/>
  <c r="K16" i="2" s="1"/>
  <c r="E36" i="3"/>
  <c r="E15" i="3"/>
  <c r="E18" i="3"/>
  <c r="K10" i="2" s="1"/>
  <c r="K3" i="2"/>
  <c r="K4" i="2"/>
  <c r="K23" i="2" l="1"/>
  <c r="L23" i="2" s="1"/>
  <c r="M23" i="2" s="1"/>
  <c r="N23" i="2" s="1"/>
  <c r="K14" i="2"/>
  <c r="L14" i="2" s="1"/>
  <c r="M14" i="2" s="1"/>
  <c r="N14" i="2" s="1"/>
  <c r="K15" i="2"/>
  <c r="L15" i="2" s="1"/>
  <c r="M15" i="2" s="1"/>
  <c r="N15" i="2" s="1"/>
  <c r="K17" i="2"/>
  <c r="L17" i="2" s="1"/>
  <c r="M17" i="2" s="1"/>
  <c r="N17" i="2" s="1"/>
  <c r="K30" i="2"/>
  <c r="L30" i="2" s="1"/>
  <c r="M30" i="2" s="1"/>
  <c r="N30" i="2" s="1"/>
  <c r="K18" i="2"/>
  <c r="L18" i="2" s="1"/>
  <c r="M18" i="2" s="1"/>
  <c r="N18" i="2" s="1"/>
  <c r="K24" i="2"/>
  <c r="L24" i="2" s="1"/>
  <c r="M24" i="2" s="1"/>
  <c r="N24" i="2" s="1"/>
  <c r="K8" i="2"/>
  <c r="L8" i="2" s="1"/>
  <c r="M8" i="2" s="1"/>
  <c r="N8" i="2" s="1"/>
  <c r="K9" i="2"/>
  <c r="L9" i="2" s="1"/>
  <c r="M9" i="2" s="1"/>
  <c r="N9" i="2" s="1"/>
  <c r="K33" i="2"/>
  <c r="L33" i="2" s="1"/>
  <c r="M33" i="2" s="1"/>
  <c r="N33" i="2" s="1"/>
  <c r="K21" i="2"/>
  <c r="L21" i="2" s="1"/>
  <c r="M21" i="2" s="1"/>
  <c r="N21" i="2" s="1"/>
  <c r="K19" i="2"/>
  <c r="L19" i="2" s="1"/>
  <c r="M19" i="2" s="1"/>
  <c r="N19" i="2" s="1"/>
  <c r="L4" i="2"/>
  <c r="M4" i="2" s="1"/>
  <c r="N4" i="2" s="1"/>
  <c r="L5" i="2"/>
  <c r="M5" i="2" s="1"/>
  <c r="N5" i="2" s="1"/>
  <c r="L31" i="2"/>
  <c r="M31" i="2" s="1"/>
  <c r="N31" i="2" s="1"/>
  <c r="L10" i="2"/>
  <c r="M10" i="2" s="1"/>
  <c r="N10" i="2" s="1"/>
  <c r="L35" i="2"/>
  <c r="M35" i="2" s="1"/>
  <c r="N35" i="2" s="1"/>
  <c r="L3" i="2"/>
  <c r="M3" i="2" s="1"/>
  <c r="N3" i="2" s="1"/>
  <c r="L7" i="2"/>
  <c r="M7" i="2" s="1"/>
  <c r="N7" i="2" s="1"/>
  <c r="L16" i="2"/>
  <c r="M16" i="2" s="1"/>
  <c r="N16" i="2" s="1"/>
  <c r="L2" i="2"/>
  <c r="M2" i="2"/>
  <c r="L12" i="2"/>
  <c r="M12" i="2" s="1"/>
  <c r="N12" i="2" s="1"/>
  <c r="K27" i="2"/>
  <c r="K6" i="2"/>
  <c r="K29" i="2"/>
  <c r="K36" i="2"/>
  <c r="K32" i="2"/>
  <c r="K34" i="2"/>
  <c r="K26" i="2"/>
  <c r="K22" i="2"/>
  <c r="K13" i="2"/>
  <c r="K25" i="2"/>
  <c r="K20" i="2"/>
  <c r="K11" i="2"/>
  <c r="K28" i="2"/>
  <c r="L28" i="2" l="1"/>
  <c r="M28" i="2" s="1"/>
  <c r="N28" i="2" s="1"/>
  <c r="N2" i="2"/>
  <c r="L11" i="2"/>
  <c r="M11" i="2" s="1"/>
  <c r="N11" i="2" s="1"/>
  <c r="L20" i="2"/>
  <c r="M20" i="2" s="1"/>
  <c r="N20" i="2" s="1"/>
  <c r="L25" i="2"/>
  <c r="M25" i="2" s="1"/>
  <c r="N25" i="2" s="1"/>
  <c r="L22" i="2"/>
  <c r="M22" i="2" s="1"/>
  <c r="N22" i="2" s="1"/>
  <c r="L13" i="2"/>
  <c r="M13" i="2" s="1"/>
  <c r="N13" i="2" s="1"/>
  <c r="L26" i="2"/>
  <c r="M26" i="2" s="1"/>
  <c r="N26" i="2" s="1"/>
  <c r="L34" i="2"/>
  <c r="M34" i="2" s="1"/>
  <c r="N34" i="2" s="1"/>
  <c r="L32" i="2"/>
  <c r="M32" i="2" s="1"/>
  <c r="N32" i="2" s="1"/>
  <c r="L36" i="2"/>
  <c r="M36" i="2" s="1"/>
  <c r="N36" i="2" s="1"/>
  <c r="L29" i="2"/>
  <c r="M29" i="2" s="1"/>
  <c r="N29" i="2" s="1"/>
  <c r="L6" i="2"/>
  <c r="L27" i="2"/>
  <c r="M27" i="2" s="1"/>
  <c r="N27" i="2" s="1"/>
  <c r="L74" i="2" l="1"/>
  <c r="M6" i="2"/>
  <c r="M74" i="2" s="1"/>
  <c r="N6" i="2" l="1"/>
  <c r="N74" i="2" s="1"/>
</calcChain>
</file>

<file path=xl/sharedStrings.xml><?xml version="1.0" encoding="utf-8"?>
<sst xmlns="http://schemas.openxmlformats.org/spreadsheetml/2006/main" count="1361" uniqueCount="652">
  <si>
    <t>PRODOTTO</t>
  </si>
  <si>
    <t>CATEGORIA</t>
  </si>
  <si>
    <t>QUANTITA'</t>
  </si>
  <si>
    <t>TOTALE</t>
  </si>
  <si>
    <t>PERCENTUALE</t>
  </si>
  <si>
    <t>COSTO UNITARIO</t>
  </si>
  <si>
    <t>COSTO TOTALE</t>
  </si>
  <si>
    <t>MARGINE</t>
  </si>
  <si>
    <t>% MARGINE</t>
  </si>
  <si>
    <t>--ANTIPASTI--</t>
  </si>
  <si>
    <t>--CONTORNI--</t>
  </si>
  <si>
    <t>--BIRRE--</t>
  </si>
  <si>
    <t>COCA COLA</t>
  </si>
  <si>
    <t>COCKTAIL SANPELLEGRINO</t>
  </si>
  <si>
    <t>ARANCIATA AMARA</t>
  </si>
  <si>
    <t>--CAFFETTERIA--</t>
  </si>
  <si>
    <t>AMARO</t>
  </si>
  <si>
    <t>DESCRIZIONE</t>
  </si>
  <si>
    <t>AMARETTO DISARONNO</t>
  </si>
  <si>
    <t>APEROL SODA</t>
  </si>
  <si>
    <t>FANTA</t>
  </si>
  <si>
    <t>BRANCA MENTA</t>
  </si>
  <si>
    <t>CAMPARI SODA</t>
  </si>
  <si>
    <t>CYNAR</t>
  </si>
  <si>
    <t>FERNET BRANCA</t>
  </si>
  <si>
    <t>GINGER BEER</t>
  </si>
  <si>
    <t>GINGER ALE</t>
  </si>
  <si>
    <t>JACK DANIELS</t>
  </si>
  <si>
    <t>JAGERMEISTER</t>
  </si>
  <si>
    <t>LAPHROAIG</t>
  </si>
  <si>
    <t>RAMAZZOTTI</t>
  </si>
  <si>
    <t>SPRITE</t>
  </si>
  <si>
    <t>SUCCO ANANAS</t>
  </si>
  <si>
    <t>SUCCO PERA</t>
  </si>
  <si>
    <t>SUCCO PESCA</t>
  </si>
  <si>
    <t>THE PESCA</t>
  </si>
  <si>
    <t>THE LIMONE</t>
  </si>
  <si>
    <t>HENDRICK'S</t>
  </si>
  <si>
    <t>GIN MARE</t>
  </si>
  <si>
    <t>TANQUERAY</t>
  </si>
  <si>
    <t>CAPPUCCINO</t>
  </si>
  <si>
    <t>LATTE MACCHIATO</t>
  </si>
  <si>
    <t>AMERICANO</t>
  </si>
  <si>
    <t>NEGRONI</t>
  </si>
  <si>
    <t>MOSCOW MULE</t>
  </si>
  <si>
    <t>Somma di QUANTITA'</t>
  </si>
  <si>
    <t>Etichette di riga</t>
  </si>
  <si>
    <t>Totale complessivo</t>
  </si>
  <si>
    <t>CODICE PRODOTTO</t>
  </si>
  <si>
    <t>1/2 GASATA</t>
  </si>
  <si>
    <t>1/2 NATURALE</t>
  </si>
  <si>
    <t>4 FORMAGGI</t>
  </si>
  <si>
    <t>--PIZZE CLASSICHE--</t>
  </si>
  <si>
    <t>4 STAGIONI</t>
  </si>
  <si>
    <t>ACQUA BICC GAS</t>
  </si>
  <si>
    <t>--BIBITE--</t>
  </si>
  <si>
    <t>ACQUA BICC NAT</t>
  </si>
  <si>
    <t>ACQUA GAS</t>
  </si>
  <si>
    <t>--CLUB--</t>
  </si>
  <si>
    <t>ACQUA GAS 0,50</t>
  </si>
  <si>
    <t>ACQUA GAS 0,75</t>
  </si>
  <si>
    <t>ACQUA NAT</t>
  </si>
  <si>
    <t>ACQUA NAT 0,50</t>
  </si>
  <si>
    <t>ACQUA NAT 0,75</t>
  </si>
  <si>
    <t>--AMARI E LIQUORI--</t>
  </si>
  <si>
    <t>AMARO DEL CAPO</t>
  </si>
  <si>
    <t>--APERITIVI--</t>
  </si>
  <si>
    <t>ANTIPASTO DEL GIORNO</t>
  </si>
  <si>
    <t>APERITIVO</t>
  </si>
  <si>
    <t>APERITIVO CASA ALCOLICO</t>
  </si>
  <si>
    <t>APERITIVO CASA ANALCOLICO</t>
  </si>
  <si>
    <t>AVERNA</t>
  </si>
  <si>
    <t>BALADIN ISAAC</t>
  </si>
  <si>
    <t>BALADIN L IPA</t>
  </si>
  <si>
    <t>BALADIN NAZIONALE</t>
  </si>
  <si>
    <t>BALADIN SUPER</t>
  </si>
  <si>
    <t>BAM BLONDE</t>
  </si>
  <si>
    <t>BARRIQUE MAMUTHONE</t>
  </si>
  <si>
    <t>--GRAPPE--</t>
  </si>
  <si>
    <t>BAYLES</t>
  </si>
  <si>
    <t>BIBITE</t>
  </si>
  <si>
    <t>BIRRA</t>
  </si>
  <si>
    <t>BIRRA DEL BORGO</t>
  </si>
  <si>
    <t>BITTER CAMPARI</t>
  </si>
  <si>
    <t>BOMBETTA</t>
  </si>
  <si>
    <t>--PIZZE CREATIVE--</t>
  </si>
  <si>
    <t>BOTTIGLIA BASE</t>
  </si>
  <si>
    <t>BOTTIGLIA BOVALE</t>
  </si>
  <si>
    <t>--VINI ROSSI E ROSATI--</t>
  </si>
  <si>
    <t>BOTTIGLIA BRANU</t>
  </si>
  <si>
    <t>--VINI BIANCHI--</t>
  </si>
  <si>
    <t>BOTTIGLIA CENTO GEMME</t>
  </si>
  <si>
    <t>BOTTIGLIA PREMIUM</t>
  </si>
  <si>
    <t>BOTTIGLIA VINO BIANCO</t>
  </si>
  <si>
    <t>BRAULIO</t>
  </si>
  <si>
    <t>BREAD AND PORK</t>
  </si>
  <si>
    <t>--BURGER MENU--</t>
  </si>
  <si>
    <t>BUFALINA</t>
  </si>
  <si>
    <t>CAFFE</t>
  </si>
  <si>
    <t>CAFFE CORRETTO</t>
  </si>
  <si>
    <t>CAFFE DEK</t>
  </si>
  <si>
    <t>CAFFE E LATTE</t>
  </si>
  <si>
    <t>CAFFE LUNGO</t>
  </si>
  <si>
    <t>CAFFE MACCHIATO CALDO</t>
  </si>
  <si>
    <t>CAFFE MACCHIATO FREDDO</t>
  </si>
  <si>
    <t>CAFFE RISTRETTO</t>
  </si>
  <si>
    <t>CALA REALE BOTTIGLIA</t>
  </si>
  <si>
    <t>CALICE AKENTA</t>
  </si>
  <si>
    <t>--SPUMANTI E PROSECCHI--</t>
  </si>
  <si>
    <t>CALICE BOVALE</t>
  </si>
  <si>
    <t>CALICE BRANU</t>
  </si>
  <si>
    <t>CALICE BURANTI' ROSATO</t>
  </si>
  <si>
    <t>CALICE CALA REALE</t>
  </si>
  <si>
    <t>CALICE CENTO GEMME</t>
  </si>
  <si>
    <t>CALICE KRESSIA</t>
  </si>
  <si>
    <t>CALICE MEDEUS</t>
  </si>
  <si>
    <t>CALICE MIRALL</t>
  </si>
  <si>
    <t>CALICE OSCARI</t>
  </si>
  <si>
    <t>CALICE PROSECCO</t>
  </si>
  <si>
    <t>CALICE SARTIGLIA</t>
  </si>
  <si>
    <t>CALICE TANCA FARRA</t>
  </si>
  <si>
    <t>CALICE VINO BIANCO</t>
  </si>
  <si>
    <t>CALICE VINO ROSSO</t>
  </si>
  <si>
    <t>CAMPIDANESE</t>
  </si>
  <si>
    <t>CAPPUCCINO DEK</t>
  </si>
  <si>
    <t>CAPPUCCINO GINSENG</t>
  </si>
  <si>
    <t>CAPPUCCINO SOIA</t>
  </si>
  <si>
    <t>CAPRICCIOSA</t>
  </si>
  <si>
    <t>CARAFFA HEINEKEN 1,5L</t>
  </si>
  <si>
    <t>CARAFFA HEINEKEN 1L</t>
  </si>
  <si>
    <t>CARAFFA ICH CRUDA 1L</t>
  </si>
  <si>
    <t>CARBONARA</t>
  </si>
  <si>
    <t>CARDINALE</t>
  </si>
  <si>
    <t>CEASAR SALAD</t>
  </si>
  <si>
    <t>--INSALATE--</t>
  </si>
  <si>
    <t>CEDRATA TASSONI</t>
  </si>
  <si>
    <t>CHESSECAKE</t>
  </si>
  <si>
    <t>--DOLCI--</t>
  </si>
  <si>
    <t>CHINA MARTINI</t>
  </si>
  <si>
    <t>CIOCCOLATA</t>
  </si>
  <si>
    <t>CIOCCOLATA BIANCA</t>
  </si>
  <si>
    <t>CIOCCOLATA CON PANNA</t>
  </si>
  <si>
    <t>CIOCCOLATA GIANDUIA</t>
  </si>
  <si>
    <t>COCA COLA ZERO</t>
  </si>
  <si>
    <t>COCKTAIL ALCOLICO</t>
  </si>
  <si>
    <t>--COCKTAIL--</t>
  </si>
  <si>
    <t>COCKTAIL ANALCOLICO</t>
  </si>
  <si>
    <t>COPERTO</t>
  </si>
  <si>
    <t>--CLIENTE--</t>
  </si>
  <si>
    <t>COSTATA DI SCOTTONA</t>
  </si>
  <si>
    <t>--SECONDI--</t>
  </si>
  <si>
    <t>COTOLETTA BABY</t>
  </si>
  <si>
    <t>--BABY--</t>
  </si>
  <si>
    <t>COTOLETTA DI MAIALE</t>
  </si>
  <si>
    <t>COTOLETTA MENU</t>
  </si>
  <si>
    <t>CREMA CAFFE</t>
  </si>
  <si>
    <t>CREMA CATALANA</t>
  </si>
  <si>
    <t>CREMA DI LIMONCELLO</t>
  </si>
  <si>
    <t>CREMA DI WHISKEY</t>
  </si>
  <si>
    <t>CRODINO</t>
  </si>
  <si>
    <t>DIAVOLA</t>
  </si>
  <si>
    <t>DIPLOMATICO RISERVA</t>
  </si>
  <si>
    <t>--RUM--</t>
  </si>
  <si>
    <t>DOLCE DELLA CASA</t>
  </si>
  <si>
    <t>DON PAPA BAROKO</t>
  </si>
  <si>
    <t>DONUT</t>
  </si>
  <si>
    <t>DRINK</t>
  </si>
  <si>
    <t>ECLISSE</t>
  </si>
  <si>
    <t>EGO</t>
  </si>
  <si>
    <t>FETTINA CAVALLO BRACE</t>
  </si>
  <si>
    <t>FOCACCIA</t>
  </si>
  <si>
    <t>--SNACK E MERENDA--</t>
  </si>
  <si>
    <t>FRITTURA MISTA MARE</t>
  </si>
  <si>
    <t>GIN FIZZ</t>
  </si>
  <si>
    <t>GIN LEMON</t>
  </si>
  <si>
    <t>--GIN--</t>
  </si>
  <si>
    <t>GIN TONIC</t>
  </si>
  <si>
    <t>GIN TONIC HENDRICK'S</t>
  </si>
  <si>
    <t>GIN TONIC MARE</t>
  </si>
  <si>
    <t>GINSENG AMARO</t>
  </si>
  <si>
    <t>GINSENG DOLCE</t>
  </si>
  <si>
    <t>GINSENG MACCHIATO</t>
  </si>
  <si>
    <t>GNOCCHETTI AL SUGO</t>
  </si>
  <si>
    <t>--PRIMI--</t>
  </si>
  <si>
    <t>GRAPPA BARRICATA</t>
  </si>
  <si>
    <t>GRAPPA BIANCA</t>
  </si>
  <si>
    <t>GREEN ZERO</t>
  </si>
  <si>
    <t>--EGO DRINKS--</t>
  </si>
  <si>
    <t>GUSTO SARDO</t>
  </si>
  <si>
    <t>HAMBURGER BABY</t>
  </si>
  <si>
    <t>HAMBURGER MENU</t>
  </si>
  <si>
    <t>HAMBURGER SCOTTONA BRACE</t>
  </si>
  <si>
    <t>HAMURGER BABY + PATATE FRITTE</t>
  </si>
  <si>
    <t>HAVANA ANEJO 7YO</t>
  </si>
  <si>
    <t>HEINEKEN ALLUMINIO</t>
  </si>
  <si>
    <t>HEINEKEN ANALCOLICA</t>
  </si>
  <si>
    <t>HORSE DRIVING</t>
  </si>
  <si>
    <t>INSALATA DELLA CASA</t>
  </si>
  <si>
    <t>INSALATA MISTA</t>
  </si>
  <si>
    <t>--WHISKEY--</t>
  </si>
  <si>
    <t>KRAKEN</t>
  </si>
  <si>
    <t>KRESSIA BOTTIGLIA</t>
  </si>
  <si>
    <t>LATTE BIANCO</t>
  </si>
  <si>
    <t>LIGHT EGO</t>
  </si>
  <si>
    <t>LIMONATA</t>
  </si>
  <si>
    <t>LIMONCINO</t>
  </si>
  <si>
    <t>LUCANO</t>
  </si>
  <si>
    <t>MACCHIATONE</t>
  </si>
  <si>
    <t>MALFY ROSA</t>
  </si>
  <si>
    <t>MARE NOSTRUM</t>
  </si>
  <si>
    <t>MARGARITA</t>
  </si>
  <si>
    <t>MARGHERITA</t>
  </si>
  <si>
    <t>MARINARA</t>
  </si>
  <si>
    <t>MAROCCHINO</t>
  </si>
  <si>
    <t>MEDEUS BOTTIGLIA</t>
  </si>
  <si>
    <t>MENABREA BIONDA</t>
  </si>
  <si>
    <t>MENABREA ROSSA</t>
  </si>
  <si>
    <t>MENABREA WEISS</t>
  </si>
  <si>
    <t>MERAVIGLIOSA</t>
  </si>
  <si>
    <t>MIGNON</t>
  </si>
  <si>
    <t>MIRTO BIANCO</t>
  </si>
  <si>
    <t>MIRTO ROSSO</t>
  </si>
  <si>
    <t>MONTANARA</t>
  </si>
  <si>
    <t>MONTENEGRO</t>
  </si>
  <si>
    <t>MORTADELLA E BURRATA</t>
  </si>
  <si>
    <t>MUFFIN</t>
  </si>
  <si>
    <t>MUFFIN ALBICOCCA</t>
  </si>
  <si>
    <t>MUFFIN CIOCCOLATO</t>
  </si>
  <si>
    <t>NAPOLI</t>
  </si>
  <si>
    <t>NEGRONI 2.0</t>
  </si>
  <si>
    <t>NEGRONI SBAGLIATO</t>
  </si>
  <si>
    <t>NUTELLINA</t>
  </si>
  <si>
    <t>--PIZZE DOLCI--</t>
  </si>
  <si>
    <t>ORTOLANA</t>
  </si>
  <si>
    <t>OSCARI BOTTIGLIA</t>
  </si>
  <si>
    <t>PACCHERO ALLA CARBONARA</t>
  </si>
  <si>
    <t>PANCAKE</t>
  </si>
  <si>
    <t>PANE PIZZA</t>
  </si>
  <si>
    <t>PAO GIN</t>
  </si>
  <si>
    <t>PAPA S FLAME</t>
  </si>
  <si>
    <t>PARMA</t>
  </si>
  <si>
    <t>PARMIGIANA</t>
  </si>
  <si>
    <t>PASTA</t>
  </si>
  <si>
    <t>PASTA SENZA GLUTINE</t>
  </si>
  <si>
    <t>PATATE ARROSTO</t>
  </si>
  <si>
    <t>PATATE FRITTE</t>
  </si>
  <si>
    <t>PERONI SENZA GLUTINE</t>
  </si>
  <si>
    <t>PIZZA SEADAS</t>
  </si>
  <si>
    <t>POLENTA DEL GIORNO</t>
  </si>
  <si>
    <t>POLENTA GORGONZOLA E SPINACI</t>
  </si>
  <si>
    <t>POLPETTE ALLA CARBONARA</t>
  </si>
  <si>
    <t>POLPO CON CREMA PATATE</t>
  </si>
  <si>
    <t>PORCHETTA</t>
  </si>
  <si>
    <t>PREMIUM</t>
  </si>
  <si>
    <t>PRIMO DEL GIORNO</t>
  </si>
  <si>
    <t>RED BULL</t>
  </si>
  <si>
    <t>REGINETTE AL POMODORO</t>
  </si>
  <si>
    <t>REGINETTE IMPERIALI</t>
  </si>
  <si>
    <t>REGINETTE PROFUMO MARE</t>
  </si>
  <si>
    <t>RIBS DI MAIALE IN SALSA BBQ</t>
  </si>
  <si>
    <t>RIGATONI ALLA CARBONARA</t>
  </si>
  <si>
    <t>RIO MARE</t>
  </si>
  <si>
    <t>RUM COOLER</t>
  </si>
  <si>
    <t>RUM E COLA</t>
  </si>
  <si>
    <t>RUSTICA</t>
  </si>
  <si>
    <t>SALAMELLE FRIARIELLI CIPOLL</t>
  </si>
  <si>
    <t>SALSICCIA E FRIARIELLI</t>
  </si>
  <si>
    <t>SAMBUCA</t>
  </si>
  <si>
    <t>SANBITTER</t>
  </si>
  <si>
    <t>SARTIGLIA BOTTIGLIA</t>
  </si>
  <si>
    <t>SAUZA</t>
  </si>
  <si>
    <t>--TEQUILA--</t>
  </si>
  <si>
    <t>SCHIUMETTA DI LATTE</t>
  </si>
  <si>
    <t>SCHWEPPES</t>
  </si>
  <si>
    <t>SECONDO DEL GIORNO</t>
  </si>
  <si>
    <t>SEVILLA MULE</t>
  </si>
  <si>
    <t>SEX ON THE BEACH</t>
  </si>
  <si>
    <t>SPINA BLANCHE 0,33</t>
  </si>
  <si>
    <t>SPINA BLANCHE 0,50</t>
  </si>
  <si>
    <t>SPINA HEINEKEN 0,25</t>
  </si>
  <si>
    <t>SPINA HEINEKEN 0,50</t>
  </si>
  <si>
    <t>SPINA ICH CRUDA 0,20</t>
  </si>
  <si>
    <t>SPINA ICH CRUDA 0,50</t>
  </si>
  <si>
    <t>SPINA LAGUNITAS 0,40</t>
  </si>
  <si>
    <t>SPREMUTA</t>
  </si>
  <si>
    <t>SPRITZ APEROL</t>
  </si>
  <si>
    <t>SPRITZ CAMPARI</t>
  </si>
  <si>
    <t>SPRITZ HUGO</t>
  </si>
  <si>
    <t>SPRITZ SELECT</t>
  </si>
  <si>
    <t>STINCO DI MAIALE</t>
  </si>
  <si>
    <t>SUCCO ACE</t>
  </si>
  <si>
    <t>SUCCO BANANA</t>
  </si>
  <si>
    <t>SUCCO MIRTILLO</t>
  </si>
  <si>
    <t>TAGLIATA DI MANZO</t>
  </si>
  <si>
    <t>TAGLIATELLA VEGANA</t>
  </si>
  <si>
    <t>TAGLIATELLA VONGOLE E BOTTARGA</t>
  </si>
  <si>
    <t>TANCA FARRA BOTTIGLIA</t>
  </si>
  <si>
    <t>TANQUERAY RANGPUR</t>
  </si>
  <si>
    <t>TANQUERAY SEVILLA</t>
  </si>
  <si>
    <t>TANQUERAY TEN</t>
  </si>
  <si>
    <t>TEDESCA</t>
  </si>
  <si>
    <t>THE CALDO</t>
  </si>
  <si>
    <t>THE VERDE</t>
  </si>
  <si>
    <t>TIRAMISU</t>
  </si>
  <si>
    <t>TISANA</t>
  </si>
  <si>
    <t>TOAST</t>
  </si>
  <si>
    <t>TONICA</t>
  </si>
  <si>
    <t>TORTA DELLA NONNA</t>
  </si>
  <si>
    <t>TRAMEZZINO</t>
  </si>
  <si>
    <t>UNICUM</t>
  </si>
  <si>
    <t>VERDURE DI STAGIONE</t>
  </si>
  <si>
    <t>VINO</t>
  </si>
  <si>
    <t>VODKA FRAGOLA RED BULL</t>
  </si>
  <si>
    <t>VODKA PESCA RED BULL</t>
  </si>
  <si>
    <t>VODKA RED BULL</t>
  </si>
  <si>
    <t>VODKA SOUR</t>
  </si>
  <si>
    <t>WHITE RUSSIAN</t>
  </si>
  <si>
    <t>PREZZO UNITARIO</t>
  </si>
  <si>
    <t>Colonna1</t>
  </si>
  <si>
    <t>choko</t>
  </si>
  <si>
    <t>COSTO TOT.</t>
  </si>
  <si>
    <t>COSTO UNIT.</t>
  </si>
  <si>
    <t>COD. PROD.</t>
  </si>
  <si>
    <t>CAFFE DOPPIO</t>
  </si>
  <si>
    <t>GLENLIVET</t>
  </si>
  <si>
    <t>BOTTIGLIA PROSECCO</t>
  </si>
  <si>
    <t>INSALATA DI POMODORI</t>
  </si>
  <si>
    <t>CONTORNO DEL GIORNO</t>
  </si>
  <si>
    <t>CAPRESE</t>
  </si>
  <si>
    <t>RED VELVET</t>
  </si>
  <si>
    <t>GINSENG AMARO GRANDE</t>
  </si>
  <si>
    <t>LIQUIRIZIA</t>
  </si>
  <si>
    <t>MIDORI</t>
  </si>
  <si>
    <t>VECCHIA ROMAGNA</t>
  </si>
  <si>
    <t>--BRANDY--</t>
  </si>
  <si>
    <t>WODKA MENTA</t>
  </si>
  <si>
    <t>--VODKA--</t>
  </si>
  <si>
    <t>BOTTIGLIA MIRALL</t>
  </si>
  <si>
    <t>COSMO EGO</t>
  </si>
  <si>
    <t>POP STAR</t>
  </si>
  <si>
    <t>SAMEDI S SECRET</t>
  </si>
  <si>
    <t>DRIFT PASSION</t>
  </si>
  <si>
    <t>ELITE</t>
  </si>
  <si>
    <t>SERVIZIO</t>
  </si>
  <si>
    <t>Media di % MARGINE</t>
  </si>
  <si>
    <t>GINSENG DOLCE GRANDE</t>
  </si>
  <si>
    <t>BISCOTTO MIGNON</t>
  </si>
  <si>
    <t>ICHNUSA N.F. 0,50</t>
  </si>
  <si>
    <t>TANQUERAY 0.0</t>
  </si>
  <si>
    <t>NEPENTE BOTTIGLIA</t>
  </si>
  <si>
    <t>VS. DARE COME ACCONTO PER LA FORNITURA DI:
-n.1 solo manodopera per il posizionamento di pedane di Okoumè
-n.1 PEDANA IN CARPLY da 33mq
-n.1 PEDANA IN CARPLY da 250x330cm 
-n.1 PEDANA IN CARPLY da 125x300cm
-n.1 Station in Listellare di Ciliegio
-n.1 struttura da destinare a Banco Mescita esterno delle dimensioni di 310x210cm
-n.1 Rivestimento frontale Bancone Bar in Legno di Okoumè in Listelli semitondi, compreso il battitacco per una lunghezza di c.a 790cm e il Piano di servizio in Rovere
-n.1 Piano di Servizio in Legno di Rovere e una mensola da fissare a parete con verniciatura trasparente poliuretanica</t>
  </si>
  <si>
    <t>Vs dare per la Fornitura e la posa di una pedana di legno</t>
  </si>
  <si>
    <t>VS DARE ACCONTO PER LAVORI DI CARPENTERIA METALLICA ESEGUITI PRESSO VS LOCALE IN VIA LO FRASSO</t>
  </si>
  <si>
    <t xml:space="preserve">Consulenza legale operazione The Box Alghero </t>
  </si>
  <si>
    <t>ATTIVITA' DI ASSISTENZA E CONSULENZA STRAGIUDIZIALE IN OPERAZIONE DI AFFITTO AZIENDA THE BOX. REDAZIONE CONTRATTUALISTICA.</t>
  </si>
  <si>
    <t>RELIZZAZIONE LAMA D'ACQUA</t>
  </si>
  <si>
    <t>Divano da giardino 2 posti in legno di acacia e cuscini tortora + Set relax con 2 divani 2 poltrone e 2 tavolini in legno di acacia con cuscini tortora + Poltrona da giardino in legno di acacia e cuscini tortora</t>
  </si>
  <si>
    <t>Consolle ALPHATEHETA XDJ-AZ s/n : EEMP015736EH</t>
  </si>
  <si>
    <t>LAVORAZIONI: PVC INSEGNA LUMINOSA + PVC VS LOGO SU VETRI + PVC INTAGLIO VETRATE + PVC SATINATO 12 MQ + PVC NERO X VETRATE 20MQ + PANNELLI DIBOND INSEGNA ESTERNA E SCALE + INSTALLAZIONE</t>
  </si>
  <si>
    <t>LAUREL MEETING TREE DIAM.CM.150</t>
  </si>
  <si>
    <t>Banco pasticceria quattro lati vetro ventilato, porte scorrevoli, N. 02 ripiani vetro temperato, termostato elettronico, vetrina su ruote di serie 220V classe energetica C DIMENSIONE 1200 x 740 x 1200 TEMPERATURA +2 °C / +10 °C</t>
  </si>
  <si>
    <t>Software Gestionale Ristorazione Bacco CS modulo completo (Frontstore + Comande Reparti)</t>
  </si>
  <si>
    <t>POS PC Touch PULSE P40 - CPU Intel® I3-1215U 8Gb Ram, SSD 128Gb sata con Windows 10 Professional</t>
  </si>
  <si>
    <t>Registratore telematico Epson modello FP-81IIR -  matricola 99IEB103674</t>
  </si>
  <si>
    <t>Modulo Bacco Statistiche WEB consultabili da remoto in tempo reale mediante piattaforma Bacco Gateway</t>
  </si>
  <si>
    <t>Modulo Software Bacco CS modalità Client per gestione multiutenza.</t>
  </si>
  <si>
    <t>Configurazione SW Bacco condivisione DBase SQL Server/Client, Mappature stampanti, impostazioni permessi operatori, caricamento Vs. menu, configurazione fattura elettronica, preconti e layout stampa. Avviamento Vs. personale con  formazione all'uso e problematiche varie.</t>
  </si>
  <si>
    <t>VERTICAL GARDEN LICHEN ELEGANCE</t>
  </si>
  <si>
    <t>BAMBOO ROYAL W/POT CM.240 GREEN</t>
  </si>
  <si>
    <t>LAUREL UVR PLANT H.160 DIAM.60 CM. GREEN</t>
  </si>
  <si>
    <t>Stampante modello ST30W - s/n ST30W-BWM2410230214</t>
  </si>
  <si>
    <t>REALIZZAZIONE LOGO "EGO"</t>
  </si>
  <si>
    <t>Display Cliente VGA 9,7" per PC POS Pulse P40</t>
  </si>
  <si>
    <t>Modulo Gateway per Bacco, permette l'interfacciamentoe comunicazione tra APP, Menu on Online, Prenotazioni con Software Bacco e Statistiche WEB</t>
  </si>
  <si>
    <t>F. MICRO 1000W 25L GMW1125 MP</t>
  </si>
  <si>
    <t>SMONTAGGIO ATTREZZATURE BANZONE BAR - LAVORO SVOLTO VIA LO FRASSO</t>
  </si>
  <si>
    <t>Modulo Software Bacco GYDA servizio per l agevolazione dell inserimento ragioni sociali esercenti per la fatturazione elettronica. Soggetto ad abbonamento annuale</t>
  </si>
  <si>
    <t>REALIZZAZIONE SFIATO TUBAZIONE SCARICHI BANCONE BAR - LAVORO SVOLTO IN VIA LO FRASSO -ALGHERO (SS)</t>
  </si>
  <si>
    <t>Terminale Palmare PULSE OX serie 9.versione Hospitality.Android 9, 5" Wifi a/b/g/n/ac - 2,4/5 GHz  GSM, IP67 completo di culla di ricarica. (USATI)</t>
  </si>
  <si>
    <t>FARETTO RUBUM IP67 LED 12V 5W</t>
  </si>
  <si>
    <t>Cambio Ragione Sociale comprensiva di disattivazione, ri attivazione e messa in servizio RT con visita di verificazione periodica su registratore telematico di marca Epson modello FP81IIRT con matricola 99IEB103674</t>
  </si>
  <si>
    <t>Cambio Ragione Sociale comprensiva di disattivazione, ri attivazione e messa in servizio RT con visita di verificazione periodica su registratore telematico di marca RCH modello Print! RT con matricola 72IV6009675</t>
  </si>
  <si>
    <t>MIXER IMMERS.19CM GSM1000 MP</t>
  </si>
  <si>
    <t>CASS.BASSA ACCIAIO CM40 PIAZZA</t>
  </si>
  <si>
    <t xml:space="preserve">SMARTP. 6.88"HD+ 4GB 128GB 50MP IP64 TENDRIL </t>
  </si>
  <si>
    <t>Inizializzazione DGFE RCH Cloud a 330 giornate lavorative</t>
  </si>
  <si>
    <t>CASS.ALTA ACC. CM 36 MP</t>
  </si>
  <si>
    <t xml:space="preserve">BIDONE ASP. 1200W 20LT CENERE+LIQUIDI+SOLIDI NERO </t>
  </si>
  <si>
    <t>PATTUM.C/COPERCHIOL.100VERDE</t>
  </si>
  <si>
    <t>PATTUM.C/COPERCHIOL.100MARRONE</t>
  </si>
  <si>
    <t>SPAZZOLA PULIZIA FORNO SET.OTT</t>
  </si>
  <si>
    <t>Disattivazione di Registratore Telematico</t>
  </si>
  <si>
    <t>PALETTINO INOX X CUOC.20CM-MP</t>
  </si>
  <si>
    <t>PRATO SINTETICO PROFESSIONALE NATURAL MD35</t>
  </si>
  <si>
    <t xml:space="preserve">SUPP.TV FINO 50" MAX.30KG INCL.SNODABILE MAX25.3CM </t>
  </si>
  <si>
    <t>BILANCIA  1G-20KG</t>
  </si>
  <si>
    <t>BATTICARNE INOX SALD. KG1,5 AS</t>
  </si>
  <si>
    <t>Onere Commerciale Modifica Impianto</t>
  </si>
  <si>
    <t>Altre Partite</t>
  </si>
  <si>
    <t>PAD.ALTA ACC.IND. 32 MP</t>
  </si>
  <si>
    <t>timbro - montatura 2770 per SC 2000 nero</t>
  </si>
  <si>
    <t>Tazza Cappucino Easy Bar Rocco Bormioli 23 cl. (12 Pz.)</t>
  </si>
  <si>
    <t>Bombola Co2</t>
  </si>
  <si>
    <t>AFFILACOLTELLI PROSHARP MACOM</t>
  </si>
  <si>
    <t>APRISCATOLE    TITAN MON</t>
  </si>
  <si>
    <t>GRATT.PREMIUM ZESTER NE MP</t>
  </si>
  <si>
    <t>PTO PNO CATHAN27,5CM B/NEROMP</t>
  </si>
  <si>
    <t>CASS.ACC.1MANICO.CM24 MP</t>
  </si>
  <si>
    <t>BOMBOLA KG 10</t>
  </si>
  <si>
    <t>TAGLIERE BLU53X32,5X2CM ME.PRO</t>
  </si>
  <si>
    <t>TAGLIERE RSS53X32,5X2CM ME.PRO</t>
  </si>
  <si>
    <t>TAGLIERE VDE53X32,5X2CM ME.PRO</t>
  </si>
  <si>
    <t>TEGLIA GN FORATA 1/1 40MM INOX</t>
  </si>
  <si>
    <t>CASS.ALTA ACC.1M.CM20 IND.MP</t>
  </si>
  <si>
    <t>SETACCIO INOX PANE CM30</t>
  </si>
  <si>
    <t>COPERCHIO  ACC. CM 40 MP</t>
  </si>
  <si>
    <t>BICCHIERE CL 51 BODEGA MAXI</t>
  </si>
  <si>
    <t>COP.INOX C/MAN.XGASTR.1/1 MP</t>
  </si>
  <si>
    <t>BRUCIATORE DA SALA MPRO</t>
  </si>
  <si>
    <t>TAGLIERE GLL53X32,5X2CM ME.PRO</t>
  </si>
  <si>
    <t>COLT.CUCINA CM20 SANELLI</t>
  </si>
  <si>
    <t>GASTRONORM 1/1 H.40MM.INOX MP</t>
  </si>
  <si>
    <t>PADELLA  ACC.CM24 IND. MP MIS</t>
  </si>
  <si>
    <t>Aps - Asia - Lattiera in acciaio inox  cm 9 H 11,5 LT. 0,6</t>
  </si>
  <si>
    <t>CIOT 22 CM NERA VEOMIS MP</t>
  </si>
  <si>
    <t>CALICE VINO 47CL SILHOUETTE</t>
  </si>
  <si>
    <t>CUCC.INOX POMODORO 53GR MP</t>
  </si>
  <si>
    <t>GASTRONORM 1/2H.100MM.INOX MP</t>
  </si>
  <si>
    <t>TUMBLER HELENA CL36 MP</t>
  </si>
  <si>
    <t>PTO DESS 20CM BOR/NE CATHAN MP</t>
  </si>
  <si>
    <t>PTO PNO NAGGADO 27CM NERO MP</t>
  </si>
  <si>
    <t xml:space="preserve">CARICABATT.RETE 33W USB-A NERO </t>
  </si>
  <si>
    <t>FORCHETTA TAVOLA GOUTTE MP</t>
  </si>
  <si>
    <t>*BARRA ORDIN.ALLUM.61CM</t>
  </si>
  <si>
    <t>125BUSTE PORTAPOSATE DIS.POS</t>
  </si>
  <si>
    <t>CAMPANA PER TORTIERA 32CM PASA</t>
  </si>
  <si>
    <t>500 ETICHETTE REMOVIB.100X50MM</t>
  </si>
  <si>
    <t>CONT.GN SOVRAPP.1/1 H150 MPRO</t>
  </si>
  <si>
    <t>GASTRON. 1/4H.100MM.INOX MP</t>
  </si>
  <si>
    <t>SPREMI LIME THE BARS</t>
  </si>
  <si>
    <t>MEST.UNIPZ12X52CL50INOX  PIAZZ</t>
  </si>
  <si>
    <t>VILEDA PANNO BLU MICROGLASS X5</t>
  </si>
  <si>
    <t>Dispenser sapone ml 500 TRASPARENTE</t>
  </si>
  <si>
    <t>PORTACOMANDE A SFERA CM46 ALLU</t>
  </si>
  <si>
    <t>BICCH. GRAPPA CL 9 AVEIRO MP</t>
  </si>
  <si>
    <t>SPARGICACAO    INOX</t>
  </si>
  <si>
    <t>TEG.RETT.ALL30X23</t>
  </si>
  <si>
    <t>6DISPENSER PLAST.TR.760ML MP</t>
  </si>
  <si>
    <t>Aps - Asia - Lattiera in acciaio inox  cm 8 H 10 LT. 0,35</t>
  </si>
  <si>
    <t>CIOT 16 CM NERA VEOMIS MP</t>
  </si>
  <si>
    <t>P/TO FDO 18,5CM NE NAGGADO MP</t>
  </si>
  <si>
    <t>CUCCH  TAV 18/10 2,5MM STAR MP</t>
  </si>
  <si>
    <t>SPAT.LASAGNE RIG.15X9SUPRAAS</t>
  </si>
  <si>
    <t>Cavo Patch Rete Cat. 5E 7M UTP Nero CBL</t>
  </si>
  <si>
    <t>GRATTUGIA PIRAMIDE MPRO</t>
  </si>
  <si>
    <t>COPERCHIO  ACC. CM 24 MP</t>
  </si>
  <si>
    <t>TEGAMINO NAT.12CM MP</t>
  </si>
  <si>
    <t>PALETTA UNIPZ S/FORI INOX PIAZ</t>
  </si>
  <si>
    <t>SCHIUMAROLA CM 16 MPRO</t>
  </si>
  <si>
    <t>MEST.UNIPZ10X43CL25INOX  PIAZZ</t>
  </si>
  <si>
    <t>AFFILACOLTELLI 2IN1 MPRO</t>
  </si>
  <si>
    <t>FRULLATORE IMMERSIONE ARO</t>
  </si>
  <si>
    <t>CONT.GN SOVRAPP.1/2 H200 MPRO</t>
  </si>
  <si>
    <t>CASSETTA SERV. 60X40X7 MP</t>
  </si>
  <si>
    <t>MOLLA DI PRECISIONE 30CM</t>
  </si>
  <si>
    <t>CONT.GN SOVRAPP.1/3 H200 MPRO</t>
  </si>
  <si>
    <t>CUCCH  CAFFE 18/10 2MM STAR MP</t>
  </si>
  <si>
    <t>CAMPANELLO MP</t>
  </si>
  <si>
    <t>FRUSTA ACC.39CM MP</t>
  </si>
  <si>
    <t>MACINAPEPE 27CM LEGNO SCU MP</t>
  </si>
  <si>
    <t>CONT.GN SOVRAPP.1/2 H150 MPRO</t>
  </si>
  <si>
    <t>COP.INOX C/MAN XGASTR.1/4 MP</t>
  </si>
  <si>
    <t>ROTELLA TAGLIAPIZZA-MP</t>
  </si>
  <si>
    <t>Cavo Patch Rete Cat. 5E 5M UTP Nero CBL</t>
  </si>
  <si>
    <t>GRATTUGIA 4LATI</t>
  </si>
  <si>
    <t>CARAFFA GRADUATA 3 LT MPRO</t>
  </si>
  <si>
    <t>50COLT TAV 0,5MM 13C USE&amp;REUSE</t>
  </si>
  <si>
    <t>50FORC TAV 0,5MM 13C USE&amp;REUSE</t>
  </si>
  <si>
    <t>SALVADANAIO CRICETO RES. SA247365-2</t>
  </si>
  <si>
    <t>RASCHIETTO FLESS.INOX CM10</t>
  </si>
  <si>
    <t>MOLLA PER PANE CM23 MP</t>
  </si>
  <si>
    <t>TAGLIAPASTAROTONDO CM10X4H</t>
  </si>
  <si>
    <t>P/TO PASTA CM24 NER STW DENVER</t>
  </si>
  <si>
    <t>6 SALIERE VETRO 11,5CM ARO</t>
  </si>
  <si>
    <t>MACINAPEPE 11,5CM LEGNO SCU MP</t>
  </si>
  <si>
    <t>PEP. DOLCI M. 70/90 PD MC(IT I</t>
  </si>
  <si>
    <t>CONT.GN SOVRAPP.1/6 H150 MPRO</t>
  </si>
  <si>
    <t>1000SPIEDI BAMBU 15CM MP</t>
  </si>
  <si>
    <t>BOCC.DECOR.ACC.127/12STELLA8P</t>
  </si>
  <si>
    <t>BOCC.DECOR.ACC.125/10F.TONDO</t>
  </si>
  <si>
    <t>BOCC.DECOR.ACC.125/6F.TONDO</t>
  </si>
  <si>
    <t>BOCC.DECOR.ACC.127/6STELLA8P</t>
  </si>
  <si>
    <t>BOCC.DECOR.ACC.126/8STELLA10P</t>
  </si>
  <si>
    <t>BOCC.DECOR.ACC.126/12STELLA10P</t>
  </si>
  <si>
    <t>PACCHI BICCHIERI TUMBL.BIO 350CC X50</t>
  </si>
  <si>
    <t>Cavo Patch Rete Cat. 6E 1M UTP Nero CBL</t>
  </si>
  <si>
    <t>CONT.GN SOVRAPP.1/6 H65 MPRO</t>
  </si>
  <si>
    <t>COPERCHIO GN 1/2 ROSSO MPRO</t>
  </si>
  <si>
    <t>COPERCHIO GN 1/2 BLU MPRO</t>
  </si>
  <si>
    <t>CORRETTORE A NASTRO 4,2MMX10M</t>
  </si>
  <si>
    <t>SESSOLA TONDA B.CO CM.38</t>
  </si>
  <si>
    <t>COPERCHIO GN 1/3 BLU MPRO</t>
  </si>
  <si>
    <t>COPERCHIO GN 1/3 VERDE MPRO</t>
  </si>
  <si>
    <t>COPERCHIO GN 1/3 ROSSO MPRO</t>
  </si>
  <si>
    <t>Spesa per la materia energia</t>
  </si>
  <si>
    <t>Personale ?</t>
  </si>
  <si>
    <t>TOT. IMP.</t>
  </si>
  <si>
    <t>HAVANA ANEJO 3YO</t>
  </si>
  <si>
    <t>MOJITO</t>
  </si>
  <si>
    <t>CUBA LIBRE</t>
  </si>
  <si>
    <t>MENU FISSO</t>
  </si>
  <si>
    <t>CARAFFA BLANCHE 1 L</t>
  </si>
  <si>
    <t>SPATOLA AD ANGOLO 29,5 CM MPRO</t>
  </si>
  <si>
    <t>SET 5 LAVAGNE A7 - FORMA L</t>
  </si>
  <si>
    <t>2PENN.GESSO 2-6 MM BIANCO</t>
  </si>
  <si>
    <t>ALZATA TORTA 32CM OND PASA</t>
  </si>
  <si>
    <t>FORCHETTONE UNIPZ2PUNTE INOX P</t>
  </si>
  <si>
    <t>Tovaglioli 24 x 24 2v. NATURAL FORTE in conf. da 100 pz.</t>
  </si>
  <si>
    <t>VINILE RIGIDO ADESIVO VIETATO FUMARE 4X15</t>
  </si>
  <si>
    <t>TARGA ORARIO CON CATENELLA ROSSO 16X21</t>
  </si>
  <si>
    <t>VINILE RIGIDO ADESIVO ENTRATA 4X15</t>
  </si>
  <si>
    <t>VINILE RIGIDO ADESIVO USCITA 4X15</t>
  </si>
  <si>
    <t>Bombola da Kg. 15</t>
  </si>
  <si>
    <t>BILANCIA  DIGITALE 0,1G/3KG</t>
  </si>
  <si>
    <t>Categoria</t>
  </si>
  <si>
    <t>Aliquota %</t>
  </si>
  <si>
    <t>Cucina e Laboratorio</t>
  </si>
  <si>
    <t>Tecnologia e Cassa</t>
  </si>
  <si>
    <t>Impianti e Audio</t>
  </si>
  <si>
    <t>Affettatrice Sirmann CNV 300</t>
  </si>
  <si>
    <t>Testa cartuccia</t>
  </si>
  <si>
    <t>Cartuccia addolcitore</t>
  </si>
  <si>
    <t>AMERICAN EGO</t>
  </si>
  <si>
    <t>Ammortamento Giorno</t>
  </si>
  <si>
    <t>Beni basso costo (&lt;€516)</t>
  </si>
  <si>
    <t>Impianto Audio</t>
  </si>
  <si>
    <t>Quadro elettrico</t>
  </si>
  <si>
    <t>FATTURATI</t>
  </si>
  <si>
    <t>PREVISTI</t>
  </si>
  <si>
    <t>Cappa parete inox 3000</t>
  </si>
  <si>
    <t>Cappa parete inox 1500</t>
  </si>
  <si>
    <t>Lampade incasso cappa</t>
  </si>
  <si>
    <t>Quadro elettrico inverter</t>
  </si>
  <si>
    <t>Centraline CDAS 40</t>
  </si>
  <si>
    <t>Cuocipasta elettrico 26 lt</t>
  </si>
  <si>
    <t>Cestello cuocipasta</t>
  </si>
  <si>
    <t>Testata inox</t>
  </si>
  <si>
    <t>Induzione 2 zone</t>
  </si>
  <si>
    <t>Induzione 2 zone (2)</t>
  </si>
  <si>
    <t>Fry-top piastra mista</t>
  </si>
  <si>
    <t>Forno Naboo Lainox</t>
  </si>
  <si>
    <t>Generatore vapore</t>
  </si>
  <si>
    <t>Friggitrice elettrica 2 vasche</t>
  </si>
  <si>
    <t>Tavolo refrigerato 4 porte</t>
  </si>
  <si>
    <t>Frigo PO 700 LT (+)</t>
  </si>
  <si>
    <t>Tavolo 2 porte BT</t>
  </si>
  <si>
    <t>Frigo PO 700 LT (–)</t>
  </si>
  <si>
    <t>Abbattitore 5 teglie</t>
  </si>
  <si>
    <t>Gruppo doccia prelavaggio</t>
  </si>
  <si>
    <t>Lavapiatti iSytech</t>
  </si>
  <si>
    <t>Detergente combiclean</t>
  </si>
  <si>
    <t>Trasporto e installazione</t>
  </si>
  <si>
    <t>Tavolo inox</t>
  </si>
  <si>
    <t>Tavolo su gambe</t>
  </si>
  <si>
    <t>Tavolo armadiato</t>
  </si>
  <si>
    <t>Banco pizza marmo</t>
  </si>
  <si>
    <t>Vetrinetta condimenti</t>
  </si>
  <si>
    <t>Tavolo armadio a giorno</t>
  </si>
  <si>
    <t>Tavolo con alzatina</t>
  </si>
  <si>
    <t>Lavello 2 vasche</t>
  </si>
  <si>
    <t>Supporto base inox</t>
  </si>
  <si>
    <t>Banco dock freddo</t>
  </si>
  <si>
    <t>Banco dock caldo</t>
  </si>
  <si>
    <t>Forno pizza</t>
  </si>
  <si>
    <t>Arredamento/Mobili/costr. legg.</t>
  </si>
  <si>
    <t>Software di gestione</t>
  </si>
  <si>
    <t>Previsti</t>
  </si>
  <si>
    <t>Fatturati</t>
  </si>
  <si>
    <t>Modifica Impianto gas</t>
  </si>
  <si>
    <t>Attrezzatura (stoviglie, att. Cucina etc.)</t>
  </si>
  <si>
    <t>"BANCO CASSA INOX L600 P696 H1100</t>
  </si>
  <si>
    <t>"BANCO BAR REFRIGERATO CON BANCALINA</t>
  </si>
  <si>
    <t>CASSETTIERA CON 2 CASSETTI UGUALI H770</t>
  </si>
  <si>
    <t>"BANCO DOCK P600 FREDDO VENTILATO</t>
  </si>
  <si>
    <t>"Supplemento per unit¨¤ refrigerante esterna 20</t>
  </si>
  <si>
    <t>"Difesa in vetro extrachiaro termosaldato</t>
  </si>
  <si>
    <t>"BANCO ANGOLARE APERTO MEDIO</t>
  </si>
  <si>
    <t>PIANO DI LAVORO INOX P696 AAS90M</t>
  </si>
  <si>
    <t>Dif. In vetro su misura</t>
  </si>
  <si>
    <t>sagomatura ad angolo difesa in cristallo</t>
  </si>
  <si>
    <t>"RETROBANCO NEUTRO INOX L1200 P630</t>
  </si>
  <si>
    <t>invaso lavello</t>
  </si>
  <si>
    <t>lavello doppio 400x400xh200 sa</t>
  </si>
  <si>
    <t>"RETROBANCO NEUTRO INOX L1050 P630</t>
  </si>
  <si>
    <t>"RETROBANCO MACCHINA CAFFE' INOX L1500</t>
  </si>
  <si>
    <t>TRAMOGGIA RIFIUTI ALTA H602</t>
  </si>
  <si>
    <t xml:space="preserve"> 7.000,00 € </t>
  </si>
  <si>
    <t xml:space="preserve"> 233,33 € </t>
  </si>
  <si>
    <t>Prestazioni di terzi</t>
  </si>
  <si>
    <t>LISTELLI SOTTOSTUTTURA  ML 80</t>
  </si>
  <si>
    <t>MONTAGGIO PAVIMENTO</t>
  </si>
  <si>
    <t>PERGOLA</t>
  </si>
  <si>
    <t>VITI INOX N 2000</t>
  </si>
  <si>
    <t xml:space="preserve">
Canone SmartPOS Mini con stampante - GENNAIO   '26   TID:75692536
</t>
  </si>
  <si>
    <t xml:space="preserve">
Installazione SmartPOS Mini con Stampante - GENNAIO   '26   TID:75692536
</t>
  </si>
  <si>
    <t xml:space="preserve">
Canone POS Portatile - GENNAIO   '26   TID:75692537
</t>
  </si>
  <si>
    <t>KORN DOG</t>
  </si>
  <si>
    <t>LAVAST. STEELTECH 45-00D 230/50-1N</t>
  </si>
  <si>
    <t>PIZZERIA IMPASTATRICE A SPIRALE CONTI</t>
  </si>
  <si>
    <t>TOP INOX LISCIO</t>
  </si>
  <si>
    <t>INSTALL. MOTORI+MAT. CONS.</t>
  </si>
  <si>
    <t>SPESE TRASP.</t>
  </si>
  <si>
    <t>CUCINA MENSOLE TUBOLARE</t>
  </si>
  <si>
    <t>PIZZERIA MISCELATORE MONOFORO CON LEVA CLINICA</t>
  </si>
  <si>
    <t>PIZZERIA LAVELLO 1 VASCA 60X560 ARMADIATO</t>
  </si>
  <si>
    <t>EGOCCINO</t>
  </si>
  <si>
    <t>FROLLINO</t>
  </si>
  <si>
    <t>CHINOTTO</t>
  </si>
  <si>
    <t>CORONA</t>
  </si>
  <si>
    <t>ZACAPA XO</t>
  </si>
  <si>
    <t>MALFY CLASSIC</t>
  </si>
  <si>
    <t>BALLANTINE</t>
  </si>
  <si>
    <t>SHOT</t>
  </si>
  <si>
    <t>BEE HAPPY</t>
  </si>
  <si>
    <t>REGINETTE IN BIANCO</t>
  </si>
  <si>
    <t>COSTI AL GG</t>
  </si>
  <si>
    <t>Colonna2</t>
  </si>
  <si>
    <t>Somma di TOT. IMP.</t>
  </si>
  <si>
    <t>Categoria_Report</t>
  </si>
  <si>
    <t>Prodotto_Report</t>
  </si>
  <si>
    <t>(più elementi)</t>
  </si>
  <si>
    <t>Affitto</t>
  </si>
  <si>
    <t xml:space="preserve">pratica registro imprese avvio attivit�
pratica registro imprese -avvio via Lofrasso
</t>
  </si>
  <si>
    <t xml:space="preserve">imposta di bollo
imposta bollo
</t>
  </si>
  <si>
    <t>SPESE ANTICIPATE</t>
  </si>
  <si>
    <t xml:space="preserve">pratica agenzia entrate- richiesta p.iva
richiesta p.iva
</t>
  </si>
  <si>
    <t xml:space="preserve">consulenza costituzione e visura
consulenza costituzione e visura
</t>
  </si>
  <si>
    <t xml:space="preserve">consulenza e assistenza contratto affitto di azienda
consulenza e assistenza contratto affitto di azienda
</t>
  </si>
  <si>
    <t xml:space="preserve">sconto riservato
sconto riservato
</t>
  </si>
  <si>
    <t xml:space="preserve">CONSULENZA E CONTABILIT� GENNAIO 2026
CONSULENZA E CONTABILIT� GENNAIO 2026
</t>
  </si>
  <si>
    <t>Somma di % MARGINE</t>
  </si>
  <si>
    <t>union gas</t>
  </si>
  <si>
    <t>CALICE AKENTA ROSE</t>
  </si>
  <si>
    <t>HAMBURGER PANINO</t>
  </si>
  <si>
    <t>CALICE BLU</t>
  </si>
  <si>
    <t>GELATO PRINCIPESSA</t>
  </si>
  <si>
    <t>FISH</t>
  </si>
  <si>
    <t>BISCOTTO FARCITO</t>
  </si>
  <si>
    <t>CALICE GEWURZTRAMINER</t>
  </si>
  <si>
    <t>MENU GASTRONOMIA</t>
  </si>
  <si>
    <t>PRIMO DEL GIORNO CON ACQUA</t>
  </si>
  <si>
    <t>SECONDO DEL GIORNO CON ACQUA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</si>
</sst>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[$€-2]\ #,##0.00;[Red]\-[$€-2]\ #,##0.00"/>
  </numFmts>
  <fonts count="25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FFFFFF"/>
      <name val="Avenir"/>
    </font>
    <font>
      <sz val="11"/>
      <color theme="1"/>
      <name val="Avenir"/>
    </font>
    <font>
      <sz val="11"/>
      <color rgb="FF576C88"/>
      <name val="Aveni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theme="0"/>
      <name val="Aveni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525252"/>
        <bgColor rgb="FF525252"/>
      </patternFill>
    </fill>
    <fill>
      <patternFill patternType="solid">
        <fgColor rgb="FFECECEC"/>
        <bgColor rgb="FFECECEC"/>
      </patternFill>
    </fill>
    <fill>
      <patternFill patternType="solid">
        <fgColor rgb="FFDADADA"/>
        <bgColor rgb="FFDADADA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ECECEC"/>
      </patternFill>
    </fill>
    <fill>
      <patternFill patternType="solid">
        <fgColor rgb="FFFF0000"/>
        <bgColor rgb="FFDADADA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4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03">
    <xf numFmtId="0" fontId="0" fillId="0" borderId="0" xfId="0"/>
    <xf numFmtId="0" fontId="6" fillId="0" borderId="0" xfId="0" applyFont="1"/>
    <xf numFmtId="9" fontId="7" fillId="0" borderId="0" xfId="0" applyNumberFormat="1" applyFont="1"/>
    <xf numFmtId="2" fontId="6" fillId="0" borderId="0" xfId="0" applyNumberFormat="1" applyFont="1"/>
    <xf numFmtId="0" fontId="8" fillId="0" borderId="0" xfId="0" applyFont="1"/>
    <xf numFmtId="10" fontId="7" fillId="0" borderId="0" xfId="0" applyNumberFormat="1" applyFont="1"/>
    <xf numFmtId="164" fontId="9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3" borderId="1" xfId="0" applyFont="1" applyFill="1" applyBorder="1"/>
    <xf numFmtId="0" fontId="10" fillId="3" borderId="1" xfId="0" applyFont="1" applyFill="1" applyBorder="1" applyAlignment="1">
      <alignment wrapText="1"/>
    </xf>
    <xf numFmtId="0" fontId="10" fillId="4" borderId="1" xfId="0" applyFont="1" applyFill="1" applyBorder="1"/>
    <xf numFmtId="0" fontId="10" fillId="4" borderId="1" xfId="0" applyFont="1" applyFill="1" applyBorder="1" applyAlignment="1">
      <alignment wrapText="1"/>
    </xf>
    <xf numFmtId="0" fontId="6" fillId="3" borderId="1" xfId="0" applyFont="1" applyFill="1" applyBorder="1"/>
    <xf numFmtId="0" fontId="6" fillId="4" borderId="1" xfId="0" applyFont="1" applyFill="1" applyBorder="1"/>
    <xf numFmtId="44" fontId="6" fillId="0" borderId="0" xfId="1" applyFont="1"/>
    <xf numFmtId="44" fontId="8" fillId="0" borderId="0" xfId="1" applyFont="1"/>
    <xf numFmtId="44" fontId="0" fillId="0" borderId="0" xfId="1" applyFont="1"/>
    <xf numFmtId="44" fontId="7" fillId="0" borderId="0" xfId="1" applyFont="1"/>
    <xf numFmtId="0" fontId="10" fillId="3" borderId="0" xfId="0" applyFont="1" applyFill="1"/>
    <xf numFmtId="0" fontId="10" fillId="3" borderId="0" xfId="0" applyFont="1" applyFill="1" applyAlignment="1">
      <alignment wrapText="1"/>
    </xf>
    <xf numFmtId="0" fontId="10" fillId="3" borderId="2" xfId="0" applyFont="1" applyFill="1" applyBorder="1" applyAlignment="1">
      <alignment wrapText="1"/>
    </xf>
    <xf numFmtId="44" fontId="9" fillId="2" borderId="1" xfId="1" applyFont="1" applyFill="1" applyBorder="1" applyAlignment="1">
      <alignment horizontal="left"/>
    </xf>
    <xf numFmtId="44" fontId="10" fillId="3" borderId="1" xfId="1" applyFont="1" applyFill="1" applyBorder="1"/>
    <xf numFmtId="44" fontId="10" fillId="4" borderId="1" xfId="1" applyFont="1" applyFill="1" applyBorder="1"/>
    <xf numFmtId="44" fontId="11" fillId="4" borderId="1" xfId="1" applyFont="1" applyFill="1" applyBorder="1" applyAlignment="1">
      <alignment horizontal="right"/>
    </xf>
    <xf numFmtId="44" fontId="11" fillId="3" borderId="1" xfId="1" applyFont="1" applyFill="1" applyBorder="1" applyAlignment="1">
      <alignment horizontal="right"/>
    </xf>
    <xf numFmtId="44" fontId="10" fillId="4" borderId="1" xfId="1" applyFont="1" applyFill="1" applyBorder="1" applyAlignment="1">
      <alignment wrapText="1"/>
    </xf>
    <xf numFmtId="44" fontId="10" fillId="3" borderId="1" xfId="1" applyFont="1" applyFill="1" applyBorder="1" applyAlignment="1"/>
    <xf numFmtId="44" fontId="10" fillId="4" borderId="1" xfId="1" applyFont="1" applyFill="1" applyBorder="1" applyAlignment="1"/>
    <xf numFmtId="44" fontId="10" fillId="3" borderId="1" xfId="1" applyFont="1" applyFill="1" applyBorder="1" applyAlignment="1">
      <alignment wrapText="1"/>
    </xf>
    <xf numFmtId="44" fontId="10" fillId="3" borderId="0" xfId="1" applyFont="1" applyFill="1" applyAlignment="1">
      <alignment wrapText="1"/>
    </xf>
    <xf numFmtId="44" fontId="10" fillId="3" borderId="0" xfId="1" applyFont="1" applyFill="1"/>
    <xf numFmtId="0" fontId="10" fillId="4" borderId="0" xfId="0" applyFont="1" applyFill="1"/>
    <xf numFmtId="0" fontId="10" fillId="4" borderId="0" xfId="0" applyFont="1" applyFill="1" applyAlignment="1">
      <alignment wrapText="1"/>
    </xf>
    <xf numFmtId="0" fontId="6" fillId="3" borderId="0" xfId="0" applyFont="1" applyFill="1"/>
    <xf numFmtId="44" fontId="10" fillId="3" borderId="0" xfId="1" applyFont="1" applyFill="1" applyBorder="1" applyAlignment="1">
      <alignment wrapText="1"/>
    </xf>
    <xf numFmtId="44" fontId="10" fillId="3" borderId="0" xfId="1" applyFont="1" applyFill="1" applyBorder="1"/>
    <xf numFmtId="0" fontId="12" fillId="0" borderId="0" xfId="0" applyFont="1"/>
    <xf numFmtId="0" fontId="15" fillId="0" borderId="4" xfId="0" applyFont="1" applyBorder="1" applyAlignment="1">
      <alignment vertical="center" readingOrder="1"/>
    </xf>
    <xf numFmtId="44" fontId="0" fillId="0" borderId="0" xfId="0" applyNumberFormat="1"/>
    <xf numFmtId="44" fontId="0" fillId="0" borderId="0" xfId="1" applyFont="1" applyAlignment="1"/>
    <xf numFmtId="0" fontId="15" fillId="0" borderId="3" xfId="0" applyFont="1" applyBorder="1" applyAlignment="1">
      <alignment vertical="center" wrapText="1" readingOrder="1"/>
    </xf>
    <xf numFmtId="9" fontId="14" fillId="0" borderId="3" xfId="0" applyNumberFormat="1" applyFont="1" applyBorder="1" applyAlignment="1">
      <alignment vertical="center" wrapText="1" readingOrder="1"/>
    </xf>
    <xf numFmtId="44" fontId="14" fillId="0" borderId="1" xfId="1" applyFont="1" applyFill="1" applyBorder="1" applyAlignment="1">
      <alignment vertical="center" wrapText="1" readingOrder="1"/>
    </xf>
    <xf numFmtId="44" fontId="14" fillId="0" borderId="3" xfId="1" applyFont="1" applyBorder="1" applyAlignment="1">
      <alignment vertical="center" wrapText="1" readingOrder="1"/>
    </xf>
    <xf numFmtId="44" fontId="0" fillId="0" borderId="1" xfId="1" applyFont="1" applyFill="1" applyBorder="1"/>
    <xf numFmtId="0" fontId="0" fillId="0" borderId="0" xfId="0" applyAlignment="1">
      <alignment vertical="center"/>
    </xf>
    <xf numFmtId="0" fontId="17" fillId="5" borderId="12" xfId="0" applyFont="1" applyFill="1" applyBorder="1"/>
    <xf numFmtId="44" fontId="0" fillId="0" borderId="0" xfId="1" applyFont="1" applyAlignment="1">
      <alignment vertical="center"/>
    </xf>
    <xf numFmtId="44" fontId="15" fillId="5" borderId="13" xfId="1" applyFont="1" applyFill="1" applyBorder="1" applyAlignment="1">
      <alignment vertical="center" wrapText="1" readingOrder="1"/>
    </xf>
    <xf numFmtId="0" fontId="15" fillId="0" borderId="6" xfId="0" applyFont="1" applyBorder="1" applyAlignment="1">
      <alignment vertical="center" wrapText="1" readingOrder="1"/>
    </xf>
    <xf numFmtId="44" fontId="15" fillId="0" borderId="7" xfId="1" applyFont="1" applyBorder="1" applyAlignment="1">
      <alignment vertical="center" wrapText="1" readingOrder="1"/>
    </xf>
    <xf numFmtId="0" fontId="15" fillId="0" borderId="7" xfId="0" applyFont="1" applyBorder="1" applyAlignment="1">
      <alignment vertical="center" wrapText="1" readingOrder="1"/>
    </xf>
    <xf numFmtId="0" fontId="15" fillId="0" borderId="8" xfId="0" applyFont="1" applyBorder="1" applyAlignment="1">
      <alignment vertical="center" wrapText="1" readingOrder="1"/>
    </xf>
    <xf numFmtId="0" fontId="15" fillId="0" borderId="9" xfId="0" applyFont="1" applyBorder="1" applyAlignment="1">
      <alignment vertical="center" wrapText="1" readingOrder="1"/>
    </xf>
    <xf numFmtId="44" fontId="15" fillId="0" borderId="10" xfId="1" applyFont="1" applyBorder="1" applyAlignment="1">
      <alignment vertical="center" wrapText="1" readingOrder="1"/>
    </xf>
    <xf numFmtId="0" fontId="14" fillId="0" borderId="10" xfId="0" applyFont="1" applyBorder="1" applyAlignment="1">
      <alignment vertical="center" wrapText="1" readingOrder="1"/>
    </xf>
    <xf numFmtId="165" fontId="14" fillId="0" borderId="5" xfId="0" applyNumberFormat="1" applyFont="1" applyBorder="1" applyAlignment="1">
      <alignment vertical="center" wrapText="1" readingOrder="1"/>
    </xf>
    <xf numFmtId="44" fontId="14" fillId="0" borderId="1" xfId="1" applyFont="1" applyFill="1" applyBorder="1" applyAlignment="1">
      <alignment vertical="center" readingOrder="1"/>
    </xf>
    <xf numFmtId="44" fontId="14" fillId="0" borderId="10" xfId="1" applyFont="1" applyBorder="1" applyAlignment="1">
      <alignment vertical="center" wrapText="1" readingOrder="1"/>
    </xf>
    <xf numFmtId="9" fontId="14" fillId="0" borderId="10" xfId="0" applyNumberFormat="1" applyFont="1" applyBorder="1" applyAlignment="1">
      <alignment vertical="center" wrapText="1" readingOrder="1"/>
    </xf>
    <xf numFmtId="44" fontId="12" fillId="0" borderId="0" xfId="1" applyFont="1"/>
    <xf numFmtId="44" fontId="12" fillId="0" borderId="0" xfId="1" applyFont="1" applyAlignment="1"/>
    <xf numFmtId="165" fontId="12" fillId="0" borderId="0" xfId="1" applyNumberFormat="1" applyFont="1"/>
    <xf numFmtId="165" fontId="12" fillId="0" borderId="0" xfId="1" applyNumberFormat="1" applyFont="1" applyAlignment="1"/>
    <xf numFmtId="44" fontId="14" fillId="0" borderId="1" xfId="0" applyNumberFormat="1" applyFont="1" applyBorder="1" applyAlignment="1">
      <alignment vertical="center" wrapText="1" readingOrder="1"/>
    </xf>
    <xf numFmtId="0" fontId="19" fillId="0" borderId="4" xfId="3" applyFont="1" applyBorder="1" applyAlignment="1">
      <alignment vertical="center" wrapText="1" readingOrder="1"/>
    </xf>
    <xf numFmtId="0" fontId="20" fillId="0" borderId="0" xfId="3" applyFont="1"/>
    <xf numFmtId="44" fontId="21" fillId="6" borderId="1" xfId="1" applyFont="1" applyFill="1" applyBorder="1"/>
    <xf numFmtId="44" fontId="21" fillId="7" borderId="1" xfId="1" applyFont="1" applyFill="1" applyBorder="1" applyAlignment="1">
      <alignment horizontal="right"/>
    </xf>
    <xf numFmtId="44" fontId="21" fillId="7" borderId="1" xfId="1" applyFont="1" applyFill="1" applyBorder="1"/>
    <xf numFmtId="44" fontId="21" fillId="7" borderId="1" xfId="1" applyFont="1" applyFill="1" applyBorder="1" applyAlignment="1"/>
    <xf numFmtId="44" fontId="21" fillId="6" borderId="1" xfId="1" applyFont="1" applyFill="1" applyBorder="1" applyAlignment="1">
      <alignment horizontal="right"/>
    </xf>
    <xf numFmtId="9" fontId="7" fillId="0" borderId="0" xfId="2" applyFont="1"/>
    <xf numFmtId="0" fontId="0" fillId="0" borderId="0" xfId="0" applyAlignment="1">
      <alignment horizontal="left"/>
    </xf>
    <xf numFmtId="0" fontId="0" fillId="0" borderId="0" xfId="0" pivotButton="1"/>
    <xf numFmtId="0" fontId="5" fillId="8" borderId="14" xfId="0" applyFont="1" applyFill="1" applyBorder="1"/>
    <xf numFmtId="9" fontId="0" fillId="0" borderId="0" xfId="0" applyNumberFormat="1"/>
    <xf numFmtId="0" fontId="5" fillId="8" borderId="16" xfId="0" applyFont="1" applyFill="1" applyBorder="1"/>
    <xf numFmtId="0" fontId="5" fillId="0" borderId="16" xfId="0" applyFont="1" applyBorder="1"/>
    <xf numFmtId="44" fontId="5" fillId="0" borderId="15" xfId="1" applyFont="1" applyBorder="1" applyAlignment="1">
      <alignment horizontal="right" vertical="center"/>
    </xf>
    <xf numFmtId="44" fontId="5" fillId="0" borderId="17" xfId="1" applyFont="1" applyBorder="1" applyAlignment="1">
      <alignment horizontal="right" vertical="center"/>
    </xf>
    <xf numFmtId="44" fontId="5" fillId="8" borderId="15" xfId="1" applyFont="1" applyFill="1" applyBorder="1" applyAlignment="1">
      <alignment horizontal="right" vertical="center"/>
    </xf>
    <xf numFmtId="44" fontId="5" fillId="8" borderId="17" xfId="1" applyFont="1" applyFill="1" applyBorder="1" applyAlignment="1">
      <alignment horizontal="right" vertical="center"/>
    </xf>
    <xf numFmtId="44" fontId="5" fillId="8" borderId="13" xfId="1" applyFont="1" applyFill="1" applyBorder="1" applyAlignment="1">
      <alignment horizontal="right" vertical="center"/>
    </xf>
    <xf numFmtId="44" fontId="5" fillId="8" borderId="12" xfId="1" applyFont="1" applyFill="1" applyBorder="1" applyAlignment="1">
      <alignment horizontal="right" vertical="center"/>
    </xf>
    <xf numFmtId="0" fontId="22" fillId="8" borderId="16" xfId="0" applyFont="1" applyFill="1" applyBorder="1"/>
    <xf numFmtId="44" fontId="22" fillId="8" borderId="15" xfId="1" applyFont="1" applyFill="1" applyBorder="1" applyAlignment="1">
      <alignment horizontal="right" vertical="center"/>
    </xf>
    <xf numFmtId="44" fontId="22" fillId="8" borderId="17" xfId="1" applyFont="1" applyFill="1" applyBorder="1" applyAlignment="1">
      <alignment horizontal="right" vertical="center"/>
    </xf>
    <xf numFmtId="0" fontId="22" fillId="0" borderId="16" xfId="0" applyFont="1" applyBorder="1"/>
    <xf numFmtId="44" fontId="22" fillId="0" borderId="15" xfId="1" applyFont="1" applyBorder="1" applyAlignment="1">
      <alignment horizontal="right" vertical="center"/>
    </xf>
    <xf numFmtId="44" fontId="22" fillId="0" borderId="17" xfId="1" applyFont="1" applyBorder="1" applyAlignment="1">
      <alignment horizontal="right" vertical="center"/>
    </xf>
    <xf numFmtId="165" fontId="15" fillId="0" borderId="11" xfId="0" applyNumberFormat="1" applyFont="1" applyBorder="1" applyAlignment="1">
      <alignment vertical="center" wrapText="1" readingOrder="1"/>
    </xf>
    <xf numFmtId="44" fontId="9" fillId="2" borderId="0" xfId="1" applyFont="1" applyFill="1" applyAlignment="1">
      <alignment horizontal="left"/>
    </xf>
    <xf numFmtId="0" fontId="23" fillId="0" borderId="0" xfId="0" applyFont="1"/>
    <xf numFmtId="44" fontId="4" fillId="0" borderId="0" xfId="1" applyFont="1"/>
    <xf numFmtId="0" fontId="4" fillId="0" borderId="0" xfId="0" applyFont="1"/>
    <xf numFmtId="0" fontId="3" fillId="0" borderId="16" xfId="0" applyFont="1" applyBorder="1"/>
    <xf numFmtId="0" fontId="24" fillId="0" borderId="0" xfId="0" applyFont="1"/>
    <xf numFmtId="44" fontId="2" fillId="0" borderId="0" xfId="1" applyFont="1"/>
    <xf numFmtId="0" fontId="2" fillId="0" borderId="0" xfId="0" applyFont="1"/>
    <xf numFmtId="44" fontId="1" fillId="0" borderId="0" xfId="1" applyFont="1"/>
    <xf numFmtId="0" fontId="1" fillId="0" borderId="0" xfId="0" applyFont="1"/>
  </cellXfs>
  <cellStyles count="4">
    <cellStyle name="Collegamento ipertestuale" xfId="3" builtinId="8"/>
    <cellStyle name="Normale" xfId="0" builtinId="0"/>
    <cellStyle name="Percentuale" xfId="2" builtinId="5"/>
    <cellStyle name="Valuta" xfId="1" builtinId="4"/>
  </cellStyles>
  <dxfs count="4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65" formatCode="[$€-2]\ #,##0.00;[Red]\-[$€-2]\ #,##0.00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3" formatCode="0%"/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textRotation="0" wrapText="0" indent="0" justifyLastLine="0" shrinkToFit="0"/>
    </dxf>
    <dxf>
      <alignment horizontal="general" vertical="center" textRotation="0" wrapText="0" indent="0" justifyLastLine="0" shrinkToFit="0" readingOrder="0"/>
    </dxf>
    <dxf>
      <alignment horizontal="general" textRotation="0" wrapText="0" indent="0" justifyLastLine="0" shrinkToFit="0"/>
    </dxf>
    <dxf>
      <alignment horizontal="general"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"/>
        <scheme val="none"/>
      </font>
      <fill>
        <patternFill patternType="solid">
          <fgColor rgb="FFECECEC"/>
          <bgColor rgb="FFECECE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"/>
        <scheme val="none"/>
      </font>
      <fill>
        <patternFill patternType="solid">
          <fgColor rgb="FFECECEC"/>
          <bgColor rgb="FFECECEC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"/>
        <scheme val="none"/>
      </font>
      <fill>
        <patternFill patternType="solid">
          <fgColor rgb="FFECECEC"/>
          <bgColor rgb="FFECECEC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"/>
        <scheme val="none"/>
      </font>
      <fill>
        <patternFill patternType="solid">
          <fgColor rgb="FFECECEC"/>
          <bgColor rgb="FFECECEC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venir"/>
        <scheme val="none"/>
      </font>
      <fill>
        <patternFill patternType="solid">
          <fgColor rgb="FFECECEC"/>
          <bgColor rgb="FFECECE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venir"/>
        <scheme val="none"/>
      </font>
      <fill>
        <patternFill patternType="solid">
          <fgColor rgb="FF525252"/>
          <bgColor rgb="FF52525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Foglio1-style" pivot="0" count="3" xr9:uid="{00000000-0011-0000-FFFF-FFFF00000000}">
      <tableStyleElement type="headerRow" dxfId="45"/>
      <tableStyleElement type="firstRowStripe" dxfId="44"/>
      <tableStyleElement type="secondRowStripe" dxfId="4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23-02-2026.xlsx]Pivot_Antipasti_Qta!Pivot_Cat_Qta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5 Cat. più vendute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Pivot_Antipasti_Qta!$B$3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Pivot_Antipasti_Qta!$A$4:$A$7</c:f>
              <c:strCache>
                <c:ptCount val="3"/>
                <c:pt idx="0">
                  <c:v>ANTIPASTO DEL GIORNO</c:v>
                </c:pt>
                <c:pt idx="1">
                  <c:v>POLPETTE ALLA CARBONARA</c:v>
                </c:pt>
                <c:pt idx="2">
                  <c:v>MENU GASTRONOMIA</c:v>
                </c:pt>
              </c:strCache>
            </c:strRef>
          </c:cat>
          <c:val>
            <c:numRef>
              <c:f>Pivot_Antipasti_Qta!$B$4:$B$7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8-49E5-8209-F725C13C7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3552895"/>
        <c:axId val="773537055"/>
      </c:barChart>
      <c:catAx>
        <c:axId val="77355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37055"/>
        <c:crosses val="autoZero"/>
        <c:auto val="1"/>
        <c:lblAlgn val="ctr"/>
        <c:lblOffset val="100"/>
        <c:noMultiLvlLbl val="0"/>
      </c:catAx>
      <c:valAx>
        <c:axId val="77353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52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23-02-2026.xlsx]Pivot_Dolci_Qta!Pivot_Cat_Qta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 dolci più venduti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Pivot_Dolci_Qta!$B$3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Pivot_Dolci_Qta!$A$4:$A$6</c:f>
              <c:strCache>
                <c:ptCount val="2"/>
                <c:pt idx="0">
                  <c:v>TIRAMISU</c:v>
                </c:pt>
                <c:pt idx="1">
                  <c:v>GELATO PRINCIPESSA</c:v>
                </c:pt>
              </c:strCache>
            </c:strRef>
          </c:cat>
          <c:val>
            <c:numRef>
              <c:f>Pivot_Dolci_Qta!$B$4:$B$6</c:f>
              <c:numCache>
                <c:formatCode>General</c:formatCode>
                <c:ptCount val="2"/>
                <c:pt idx="0">
                  <c:v>6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BB-48A6-9585-26480B7247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73552895"/>
        <c:axId val="773537055"/>
      </c:barChart>
      <c:catAx>
        <c:axId val="77355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37055"/>
        <c:crosses val="autoZero"/>
        <c:auto val="1"/>
        <c:lblAlgn val="ctr"/>
        <c:lblOffset val="100"/>
        <c:noMultiLvlLbl val="0"/>
      </c:catAx>
      <c:valAx>
        <c:axId val="7735370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5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23-02-2026.xlsx]Pivot_Cat_€!Pivot_Cat_€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Le 5 cat. che generano più incasso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Pivot_Cat_€!$B$3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Pivot_Cat_€!$A$4:$A$9</c:f>
              <c:strCache>
                <c:ptCount val="5"/>
                <c:pt idx="0">
                  <c:v>--ANTIPASTI--</c:v>
                </c:pt>
                <c:pt idx="1">
                  <c:v>--APERITIVI--</c:v>
                </c:pt>
                <c:pt idx="2">
                  <c:v>--BIRRE--</c:v>
                </c:pt>
                <c:pt idx="3">
                  <c:v>--CAFFETTERIA--</c:v>
                </c:pt>
                <c:pt idx="4">
                  <c:v>--SECONDI--</c:v>
                </c:pt>
              </c:strCache>
            </c:strRef>
          </c:cat>
          <c:val>
            <c:numRef>
              <c:f>Pivot_Cat_€!$B$4:$B$9</c:f>
              <c:numCache>
                <c:formatCode>_("€"* #,##0.00_);_("€"* \(#,##0.00\);_("€"* "-"??_);_(@_)</c:formatCode>
                <c:ptCount val="5"/>
                <c:pt idx="0">
                  <c:v>245.77272727272725</c:v>
                </c:pt>
                <c:pt idx="1">
                  <c:v>108.45454545454544</c:v>
                </c:pt>
                <c:pt idx="2">
                  <c:v>108.12727272727271</c:v>
                </c:pt>
                <c:pt idx="3">
                  <c:v>93.754545454545422</c:v>
                </c:pt>
                <c:pt idx="4">
                  <c:v>161.11818181818182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1B-4D6E-87AE-EDE74A0FCB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3573535"/>
        <c:axId val="773580255"/>
      </c:barChart>
      <c:catAx>
        <c:axId val="773573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80255"/>
        <c:crosses val="autoZero"/>
        <c:auto val="1"/>
        <c:lblAlgn val="ctr"/>
        <c:lblOffset val="100"/>
        <c:noMultiLvlLbl val="0"/>
      </c:catAx>
      <c:valAx>
        <c:axId val="77358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73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23-02-2026.xlsx]Pivot_Prod_€!Pivot_Prod_Qta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I Drink più venduti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Pivot_Prod_€!$B$4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Pivot_Prod_€!$A$5:$A$7</c:f>
              <c:strCache>
                <c:ptCount val="2"/>
                <c:pt idx="0">
                  <c:v>GIN MARE</c:v>
                </c:pt>
                <c:pt idx="1">
                  <c:v>SHOT</c:v>
                </c:pt>
              </c:strCache>
            </c:strRef>
          </c:cat>
          <c:val>
            <c:numRef>
              <c:f>Pivot_Prod_€!$B$5:$B$7</c:f>
              <c:numCache>
                <c:formatCode>_("€"* #,##0.00_);_("€"* \(#,##0.00\);_("€"* "-"??_);_(@_)</c:formatCode>
                <c:ptCount val="2"/>
                <c:pt idx="0">
                  <c:v>65.454545454545453</c:v>
                </c:pt>
                <c:pt idx="1">
                  <c:v>4.545454545454545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3-48DC-8CE7-84D59B31D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3511615"/>
        <c:axId val="773528415"/>
      </c:barChart>
      <c:catAx>
        <c:axId val="77351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28415"/>
        <c:crosses val="autoZero"/>
        <c:auto val="1"/>
        <c:lblAlgn val="ctr"/>
        <c:lblOffset val="100"/>
        <c:noMultiLvlLbl val="0"/>
      </c:catAx>
      <c:valAx>
        <c:axId val="77352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1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23-02-2026.xlsx]Pivot_Primi_Qta!Pivot_Prod_Qta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I primi più venduti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Pivot_Primi_Qta!$B$4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Pivot_Primi_Qta!$A$5:$A$7</c:f>
              <c:strCache>
                <c:ptCount val="2"/>
                <c:pt idx="0">
                  <c:v>REGINETTE IMPERIALI</c:v>
                </c:pt>
                <c:pt idx="1">
                  <c:v>RIGATONI ALLA CARBONARA</c:v>
                </c:pt>
              </c:strCache>
            </c:strRef>
          </c:cat>
          <c:val>
            <c:numRef>
              <c:f>Pivot_Primi_Qta!$B$5:$B$7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0-4509-803A-65CDF853D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3511615"/>
        <c:axId val="773528415"/>
      </c:barChart>
      <c:catAx>
        <c:axId val="77351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28415"/>
        <c:crosses val="autoZero"/>
        <c:auto val="1"/>
        <c:lblAlgn val="ctr"/>
        <c:lblOffset val="100"/>
        <c:noMultiLvlLbl val="0"/>
      </c:catAx>
      <c:valAx>
        <c:axId val="77352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1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23-02-2026.xlsx]Pivot_Secondi_Qta !Pivot_Prod_Qta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I secondi più venduti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'Pivot_Secondi_Qta '!$B$4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'Pivot_Secondi_Qta '!$A$5:$A$9</c:f>
              <c:strCache>
                <c:ptCount val="4"/>
                <c:pt idx="0">
                  <c:v>COSTATA DI SCOTTONA</c:v>
                </c:pt>
                <c:pt idx="1">
                  <c:v>COTOLETTA DI MAIALE</c:v>
                </c:pt>
                <c:pt idx="2">
                  <c:v>SECONDO DEL GIORNO</c:v>
                </c:pt>
                <c:pt idx="3">
                  <c:v>TAGLIATA DI MANZO</c:v>
                </c:pt>
              </c:strCache>
            </c:strRef>
          </c:cat>
          <c:val>
            <c:numRef>
              <c:f>'Pivot_Secondi_Qta '!$B$5:$B$9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11-42F0-8EEB-BBD04B435B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3511615"/>
        <c:axId val="773528415"/>
      </c:barChart>
      <c:catAx>
        <c:axId val="77351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28415"/>
        <c:crosses val="autoZero"/>
        <c:auto val="1"/>
        <c:lblAlgn val="ctr"/>
        <c:lblOffset val="100"/>
        <c:noMultiLvlLbl val="0"/>
      </c:catAx>
      <c:valAx>
        <c:axId val="77352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1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23-02-2026.xlsx]Pivot_Pizze_Qta!Pivot_Prod_Qta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I pizze più venduti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Pivot_Pizze_Qta!$B$4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Pivot_Pizze_Qta!$A$5:$A$9</c:f>
              <c:strCache>
                <c:ptCount val="4"/>
                <c:pt idx="0">
                  <c:v>MARGHERITA</c:v>
                </c:pt>
                <c:pt idx="1">
                  <c:v>NAPOLI</c:v>
                </c:pt>
                <c:pt idx="2">
                  <c:v>ORTOLANA</c:v>
                </c:pt>
                <c:pt idx="3">
                  <c:v>RUSTICA</c:v>
                </c:pt>
              </c:strCache>
            </c:strRef>
          </c:cat>
          <c:val>
            <c:numRef>
              <c:f>Pivot_Pizze_Qta!$B$5:$B$9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0-443B-AA06-2B9C2461C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3511615"/>
        <c:axId val="773528415"/>
      </c:barChart>
      <c:catAx>
        <c:axId val="77351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28415"/>
        <c:crosses val="autoZero"/>
        <c:auto val="1"/>
        <c:lblAlgn val="ctr"/>
        <c:lblOffset val="100"/>
        <c:noMultiLvlLbl val="0"/>
      </c:catAx>
      <c:valAx>
        <c:axId val="77352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1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23-02-2026.xlsx]Pivot_Hamburger_Qta!Pivot_Prod_Qta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baseline="0"/>
              <a:t>Gli hamburger più venduti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Pivot_Hamburger_Qta!$B$4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Pivot_Hamburger_Qta!$A$5:$A$6</c:f>
              <c:strCache>
                <c:ptCount val="1"/>
                <c:pt idx="0">
                  <c:v>BREAD AND PORK</c:v>
                </c:pt>
              </c:strCache>
            </c:strRef>
          </c:cat>
          <c:val>
            <c:numRef>
              <c:f>Pivot_Hamburger_Qta!$B$5:$B$6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A6-4584-89CF-236515C8F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3511615"/>
        <c:axId val="773528415"/>
      </c:barChart>
      <c:catAx>
        <c:axId val="77351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28415"/>
        <c:crosses val="autoZero"/>
        <c:auto val="1"/>
        <c:lblAlgn val="ctr"/>
        <c:lblOffset val="100"/>
        <c:noMultiLvlLbl val="0"/>
      </c:catAx>
      <c:valAx>
        <c:axId val="77352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1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23-02-2026.xlsx]Margine_Cat.!PIVOT_MARGINE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Categorie che marginano di più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Margine_Cat.!$B$3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Margine_Cat.!$A$4:$A$16</c:f>
              <c:strCache>
                <c:ptCount val="12"/>
                <c:pt idx="0">
                  <c:v>--AMARI E LIQUORI--</c:v>
                </c:pt>
                <c:pt idx="1">
                  <c:v>--APERITIVI--</c:v>
                </c:pt>
                <c:pt idx="2">
                  <c:v>--BABY--</c:v>
                </c:pt>
                <c:pt idx="3">
                  <c:v>--BIBITE--</c:v>
                </c:pt>
                <c:pt idx="4">
                  <c:v>--BURGER MENU--</c:v>
                </c:pt>
                <c:pt idx="5">
                  <c:v>--CAFFETTERIA--</c:v>
                </c:pt>
                <c:pt idx="6">
                  <c:v>--COCKTAIL--</c:v>
                </c:pt>
                <c:pt idx="7">
                  <c:v>--CONTORNI--</c:v>
                </c:pt>
                <c:pt idx="8">
                  <c:v>--GIN--</c:v>
                </c:pt>
                <c:pt idx="9">
                  <c:v>--INSALATE--</c:v>
                </c:pt>
                <c:pt idx="10">
                  <c:v>--PIZZE CLASSICHE--</c:v>
                </c:pt>
                <c:pt idx="11">
                  <c:v>--PIZZE CREATIVE--</c:v>
                </c:pt>
              </c:strCache>
            </c:strRef>
          </c:cat>
          <c:val>
            <c:numRef>
              <c:f>Margine_Cat.!$B$4:$B$16</c:f>
              <c:numCache>
                <c:formatCode>0%</c:formatCode>
                <c:ptCount val="12"/>
                <c:pt idx="0">
                  <c:v>0.78771132844414604</c:v>
                </c:pt>
                <c:pt idx="1">
                  <c:v>0.75275099206349216</c:v>
                </c:pt>
                <c:pt idx="2">
                  <c:v>0.66666666666666663</c:v>
                </c:pt>
                <c:pt idx="3">
                  <c:v>0.72789603719949647</c:v>
                </c:pt>
                <c:pt idx="4">
                  <c:v>0.66666666666666674</c:v>
                </c:pt>
                <c:pt idx="5">
                  <c:v>0.72345007536477557</c:v>
                </c:pt>
                <c:pt idx="6">
                  <c:v>0.82400000000000007</c:v>
                </c:pt>
                <c:pt idx="7">
                  <c:v>0.66666666666666663</c:v>
                </c:pt>
                <c:pt idx="8">
                  <c:v>0.72958333333333325</c:v>
                </c:pt>
                <c:pt idx="9">
                  <c:v>0.66666666666666663</c:v>
                </c:pt>
                <c:pt idx="10">
                  <c:v>0.74365229044834302</c:v>
                </c:pt>
                <c:pt idx="11">
                  <c:v>0.75038461538461543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E-4522-9DAF-EA9B57EC3F3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0895727"/>
        <c:axId val="1230905807"/>
      </c:barChart>
      <c:catAx>
        <c:axId val="1230895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0905807"/>
        <c:crosses val="autoZero"/>
        <c:auto val="1"/>
        <c:lblAlgn val="ctr"/>
        <c:lblOffset val="100"/>
        <c:noMultiLvlLbl val="0"/>
      </c:catAx>
      <c:valAx>
        <c:axId val="12309058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3089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23-02-2026.xlsx]Pivot_Caffetteria_Qta!Pivot_Cat_Qta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Prodotti</a:t>
            </a:r>
            <a:r>
              <a:rPr lang="it-IT" baseline="0"/>
              <a:t> caffetteria più venduti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Pivot_Caffetteria_Qta!$B$3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Pivot_Caffetteria_Qta!$A$4:$A$9</c:f>
              <c:strCache>
                <c:ptCount val="5"/>
                <c:pt idx="0">
                  <c:v>CAFFE</c:v>
                </c:pt>
                <c:pt idx="1">
                  <c:v>CAPPUCCINO</c:v>
                </c:pt>
                <c:pt idx="2">
                  <c:v>GINSENG AMARO</c:v>
                </c:pt>
                <c:pt idx="3">
                  <c:v>GINSENG DOLCE</c:v>
                </c:pt>
                <c:pt idx="4">
                  <c:v>PASTA</c:v>
                </c:pt>
              </c:strCache>
            </c:strRef>
          </c:cat>
          <c:val>
            <c:numRef>
              <c:f>Pivot_Caffetteria_Qta!$B$4:$B$9</c:f>
              <c:numCache>
                <c:formatCode>General</c:formatCode>
                <c:ptCount val="5"/>
                <c:pt idx="0">
                  <c:v>32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6-41F7-8A70-083243E89D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73552895"/>
        <c:axId val="773537055"/>
      </c:barChart>
      <c:catAx>
        <c:axId val="77355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37055"/>
        <c:crosses val="autoZero"/>
        <c:auto val="1"/>
        <c:lblAlgn val="ctr"/>
        <c:lblOffset val="100"/>
        <c:noMultiLvlLbl val="0"/>
      </c:catAx>
      <c:valAx>
        <c:axId val="7735370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5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23-02-2026.xlsx]Pivot_Vini_Bianchi_Qta!Pivot_Cat_Qta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 vini bianchi </a:t>
            </a:r>
            <a:r>
              <a:rPr lang="it-IT" baseline="0"/>
              <a:t>più venduti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Pivot_Vini_Bianchi_Qta!$B$3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Pivot_Vini_Bianchi_Qta!$A$4:$A$8</c:f>
              <c:strCache>
                <c:ptCount val="4"/>
                <c:pt idx="0">
                  <c:v>CALA REALE BOTTIGLIA</c:v>
                </c:pt>
                <c:pt idx="1">
                  <c:v>CALICE VINO BIANCO</c:v>
                </c:pt>
                <c:pt idx="2">
                  <c:v>CALICE BLU</c:v>
                </c:pt>
                <c:pt idx="3">
                  <c:v>CALICE GEWURZTRAMINER</c:v>
                </c:pt>
              </c:strCache>
            </c:strRef>
          </c:cat>
          <c:val>
            <c:numRef>
              <c:f>Pivot_Vini_Bianchi_Qta!$B$4:$B$8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6-48BF-A64B-BA83891B89E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73552895"/>
        <c:axId val="773537055"/>
      </c:barChart>
      <c:catAx>
        <c:axId val="77355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37055"/>
        <c:crosses val="autoZero"/>
        <c:auto val="1"/>
        <c:lblAlgn val="ctr"/>
        <c:lblOffset val="100"/>
        <c:noMultiLvlLbl val="0"/>
      </c:catAx>
      <c:valAx>
        <c:axId val="7735370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5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23-02-2026.xlsx]Pivot_Spumanti_Prosecco_Qta!Pivot_Cat_Qta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Gli</a:t>
            </a:r>
            <a:r>
              <a:rPr lang="it-IT" baseline="0"/>
              <a:t> spumanti e prosecco</a:t>
            </a:r>
            <a:r>
              <a:rPr lang="it-IT"/>
              <a:t> </a:t>
            </a:r>
            <a:r>
              <a:rPr lang="it-IT" baseline="0"/>
              <a:t>più venduti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Pivot_Spumanti_Prosecco_Qta!$B$3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Pivot_Spumanti_Prosecco_Qta!$A$4</c:f>
              <c:strCache>
                <c:ptCount val="1"/>
                <c:pt idx="0">
                  <c:v>Totale complessivo</c:v>
                </c:pt>
              </c:strCache>
            </c:strRef>
          </c:cat>
          <c:val>
            <c:numRef>
              <c:f>Pivot_Spumanti_Prosecco_Qta!$B$4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30E-4846-B8A2-DA565441927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73552895"/>
        <c:axId val="773537055"/>
      </c:barChart>
      <c:catAx>
        <c:axId val="773552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37055"/>
        <c:crosses val="autoZero"/>
        <c:auto val="1"/>
        <c:lblAlgn val="ctr"/>
        <c:lblOffset val="100"/>
        <c:noMultiLvlLbl val="0"/>
      </c:catAx>
      <c:valAx>
        <c:axId val="7735370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355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[CHIUSURA 23-02-2026.xlsx]MARGINE_DRINK!DRINK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Drink con più margine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MARGINE_DRINK!$B$3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MARGINE_DRINK!$A$4:$A$10</c:f>
              <c:strCache>
                <c:ptCount val="6"/>
                <c:pt idx="0">
                  <c:v>CAMPARI SODA</c:v>
                </c:pt>
                <c:pt idx="1">
                  <c:v>COCKTAIL SANPELLEGRINO</c:v>
                </c:pt>
                <c:pt idx="2">
                  <c:v>GIN MARE</c:v>
                </c:pt>
                <c:pt idx="3">
                  <c:v>NEGRONI</c:v>
                </c:pt>
                <c:pt idx="4">
                  <c:v>SHOT</c:v>
                </c:pt>
                <c:pt idx="5">
                  <c:v>SPRITZ APEROL</c:v>
                </c:pt>
              </c:strCache>
            </c:strRef>
          </c:cat>
          <c:val>
            <c:numRef>
              <c:f>MARGINE_DRINK!$B$4:$B$10</c:f>
              <c:numCache>
                <c:formatCode>0%</c:formatCode>
                <c:ptCount val="6"/>
                <c:pt idx="0">
                  <c:v>0.7014285714285714</c:v>
                </c:pt>
                <c:pt idx="1">
                  <c:v>0.78532539682539682</c:v>
                </c:pt>
                <c:pt idx="2">
                  <c:v>0.72958333333333325</c:v>
                </c:pt>
                <c:pt idx="3">
                  <c:v>0.77312500000000006</c:v>
                </c:pt>
                <c:pt idx="4">
                  <c:v>0.82400000000000007</c:v>
                </c:pt>
                <c:pt idx="5">
                  <c:v>0.75112499999999993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2E-4C84-80B8-15B77CDF30F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0763359"/>
        <c:axId val="1070762879"/>
      </c:barChart>
      <c:catAx>
        <c:axId val="107076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2879"/>
        <c:crosses val="autoZero"/>
        <c:auto val="1"/>
        <c:lblAlgn val="ctr"/>
        <c:lblOffset val="100"/>
        <c:noMultiLvlLbl val="0"/>
      </c:catAx>
      <c:valAx>
        <c:axId val="1070762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[CHIUSURA 23-02-2026.xlsx]MARGINE_PRIMI!DRINK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Primi con più margine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MARGINE_PRIMI!$B$3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MARGINE_PRIMI!$A$4:$A$7</c:f>
              <c:strCache>
                <c:ptCount val="3"/>
                <c:pt idx="0">
                  <c:v>REGINETTE IMPERIALI</c:v>
                </c:pt>
                <c:pt idx="1">
                  <c:v>RIGATONI ALLA CARBONARA</c:v>
                </c:pt>
                <c:pt idx="2">
                  <c:v>PRIMO DEL GIORNO CON ACQUA</c:v>
                </c:pt>
              </c:strCache>
            </c:strRef>
          </c:cat>
          <c:val>
            <c:numRef>
              <c:f>MARGINE_PRIMI!$B$4:$B$7</c:f>
              <c:numCache>
                <c:formatCode>0%</c:formatCode>
                <c:ptCount val="3"/>
                <c:pt idx="0">
                  <c:v>0.66666666666666674</c:v>
                </c:pt>
                <c:pt idx="1">
                  <c:v>0.64444444444444449</c:v>
                </c:pt>
                <c:pt idx="2">
                  <c:v>0.23513513513513509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69-4906-860F-26C228B73D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0763359"/>
        <c:axId val="1070762879"/>
      </c:barChart>
      <c:catAx>
        <c:axId val="107076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2879"/>
        <c:crosses val="autoZero"/>
        <c:auto val="1"/>
        <c:lblAlgn val="ctr"/>
        <c:lblOffset val="100"/>
        <c:noMultiLvlLbl val="0"/>
      </c:catAx>
      <c:valAx>
        <c:axId val="1070762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[CHIUSURA 23-02-2026.xlsx]MARGINE_SECONDI!DRINK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Secondi con più margine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MARGINE_SECONDI!$B$3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MARGINE_SECONDI!$A$4:$A$9</c:f>
              <c:strCache>
                <c:ptCount val="5"/>
                <c:pt idx="0">
                  <c:v>COSTATA DI SCOTTONA</c:v>
                </c:pt>
                <c:pt idx="1">
                  <c:v>COTOLETTA DI MAIALE</c:v>
                </c:pt>
                <c:pt idx="2">
                  <c:v>SECONDO DEL GIORNO</c:v>
                </c:pt>
                <c:pt idx="3">
                  <c:v>TAGLIATA DI MANZO</c:v>
                </c:pt>
                <c:pt idx="4">
                  <c:v>SECONDO DEL GIORNO CON ACQUA</c:v>
                </c:pt>
              </c:strCache>
            </c:strRef>
          </c:cat>
          <c:val>
            <c:numRef>
              <c:f>MARGINE_SECONDI!$B$4:$B$9</c:f>
              <c:numCache>
                <c:formatCode>0%</c:formatCode>
                <c:ptCount val="5"/>
                <c:pt idx="0">
                  <c:v>0.35192307692307701</c:v>
                </c:pt>
                <c:pt idx="1">
                  <c:v>0.6284501061571125</c:v>
                </c:pt>
                <c:pt idx="2">
                  <c:v>0</c:v>
                </c:pt>
                <c:pt idx="3">
                  <c:v>0.66666666666666674</c:v>
                </c:pt>
                <c:pt idx="4">
                  <c:v>0.18189255522225259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B-4B6E-BFDC-B958085D243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0763359"/>
        <c:axId val="1070762879"/>
      </c:barChart>
      <c:catAx>
        <c:axId val="107076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2879"/>
        <c:crosses val="autoZero"/>
        <c:auto val="1"/>
        <c:lblAlgn val="ctr"/>
        <c:lblOffset val="100"/>
        <c:noMultiLvlLbl val="0"/>
      </c:catAx>
      <c:valAx>
        <c:axId val="1070762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[CHIUSURA 23-02-2026.xlsx]MARGINE_PIZZE!DRINK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Pizze con più margine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MARGINE_PIZZE!$B$3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MARGINE_PIZZE!$A$4:$A$8</c:f>
              <c:strCache>
                <c:ptCount val="4"/>
                <c:pt idx="0">
                  <c:v>MARGHERITA</c:v>
                </c:pt>
                <c:pt idx="1">
                  <c:v>NAPOLI</c:v>
                </c:pt>
                <c:pt idx="2">
                  <c:v>ORTOLANA</c:v>
                </c:pt>
                <c:pt idx="3">
                  <c:v>RUSTICA</c:v>
                </c:pt>
              </c:strCache>
            </c:strRef>
          </c:cat>
          <c:val>
            <c:numRef>
              <c:f>MARGINE_PIZZE!$B$4:$B$8</c:f>
              <c:numCache>
                <c:formatCode>0%</c:formatCode>
                <c:ptCount val="4"/>
                <c:pt idx="0">
                  <c:v>0.79852631578947364</c:v>
                </c:pt>
                <c:pt idx="1">
                  <c:v>0.70987499999999992</c:v>
                </c:pt>
                <c:pt idx="2">
                  <c:v>0.72255555555555562</c:v>
                </c:pt>
                <c:pt idx="3">
                  <c:v>0.75038461538461543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9-4E4D-8766-D15B818358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0763359"/>
        <c:axId val="1070762879"/>
      </c:barChart>
      <c:catAx>
        <c:axId val="107076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2879"/>
        <c:crosses val="autoZero"/>
        <c:auto val="1"/>
        <c:lblAlgn val="ctr"/>
        <c:lblOffset val="100"/>
        <c:noMultiLvlLbl val="0"/>
      </c:catAx>
      <c:valAx>
        <c:axId val="1070762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[CHIUSURA 23-02-2026.xlsx]MARGINE_HAMBURGER!DRINK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Hamburger con più margine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MARGINE_HAMBURGER!$B$3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MARGINE_HAMBURGER!$A$4:$A$6</c:f>
              <c:strCache>
                <c:ptCount val="2"/>
                <c:pt idx="0">
                  <c:v>BREAD AND PORK</c:v>
                </c:pt>
                <c:pt idx="1">
                  <c:v>HAMBURGER PANINO</c:v>
                </c:pt>
              </c:strCache>
            </c:strRef>
          </c:cat>
          <c:val>
            <c:numRef>
              <c:f>MARGINE_HAMBURGER!$B$4:$B$6</c:f>
              <c:numCache>
                <c:formatCode>0%</c:formatCode>
                <c:ptCount val="2"/>
                <c:pt idx="0">
                  <c:v>0.66666666666666674</c:v>
                </c:pt>
                <c:pt idx="1">
                  <c:v>0.66666666666666674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83-4EBB-905F-5DDA88F6B51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0763359"/>
        <c:axId val="1070762879"/>
      </c:barChart>
      <c:catAx>
        <c:axId val="107076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2879"/>
        <c:crosses val="autoZero"/>
        <c:auto val="1"/>
        <c:lblAlgn val="ctr"/>
        <c:lblOffset val="100"/>
        <c:noMultiLvlLbl val="0"/>
      </c:catAx>
      <c:valAx>
        <c:axId val="1070762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[CHIUSURA 23-02-2026.xlsx]MARGINE_ANTIPASTI!DRINK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Antipasti con più margine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MARGINE_ANTIPASTI!$B$3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MARGINE_ANTIPASTI!$A$4:$A$7</c:f>
              <c:strCache>
                <c:ptCount val="3"/>
                <c:pt idx="0">
                  <c:v>ANTIPASTO DEL GIORNO</c:v>
                </c:pt>
                <c:pt idx="1">
                  <c:v>POLPETTE ALLA CARBONARA</c:v>
                </c:pt>
                <c:pt idx="2">
                  <c:v>MENU GASTRONOMIA</c:v>
                </c:pt>
              </c:strCache>
            </c:strRef>
          </c:cat>
          <c:val>
            <c:numRef>
              <c:f>MARGINE_ANTIPASTI!$B$4:$B$7</c:f>
              <c:numCache>
                <c:formatCode>0%</c:formatCode>
                <c:ptCount val="3"/>
                <c:pt idx="0">
                  <c:v>0.53399999999999992</c:v>
                </c:pt>
                <c:pt idx="1">
                  <c:v>0.75</c:v>
                </c:pt>
                <c:pt idx="2">
                  <c:v>0.6063618290258449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D4-4D72-932C-84DB7B5D06D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0763359"/>
        <c:axId val="1070762879"/>
      </c:barChart>
      <c:catAx>
        <c:axId val="107076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2879"/>
        <c:crosses val="autoZero"/>
        <c:auto val="1"/>
        <c:lblAlgn val="ctr"/>
        <c:lblOffset val="100"/>
        <c:noMultiLvlLbl val="0"/>
      </c:catAx>
      <c:valAx>
        <c:axId val="1070762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[CHIUSURA 23-02-2026.xlsx]MARGINE_DOLCI!DRINK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Dolci con più margine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MARGINE_DOLCI!$B$3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MARGINE_DOLCI!$A$4:$A$6</c:f>
              <c:strCache>
                <c:ptCount val="2"/>
                <c:pt idx="0">
                  <c:v>TIRAMISU</c:v>
                </c:pt>
                <c:pt idx="1">
                  <c:v>GELATO PRINCIPESSA</c:v>
                </c:pt>
              </c:strCache>
            </c:strRef>
          </c:cat>
          <c:val>
            <c:numRef>
              <c:f>MARGINE_DOLCI!$B$4:$B$6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B9-409C-BDBF-E480F357C28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0763359"/>
        <c:axId val="1070762879"/>
      </c:barChart>
      <c:catAx>
        <c:axId val="107076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2879"/>
        <c:crosses val="autoZero"/>
        <c:auto val="1"/>
        <c:lblAlgn val="ctr"/>
        <c:lblOffset val="100"/>
        <c:noMultiLvlLbl val="0"/>
      </c:catAx>
      <c:valAx>
        <c:axId val="1070762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[CHIUSURA 23-02-2026.xlsx]MARGINE_CAFFETTERIA!DRINK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Caffetteria con più margine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MARGINE_CAFFETTERIA!$B$3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MARGINE_CAFFETTERIA!$A$4:$A$14</c:f>
              <c:strCache>
                <c:ptCount val="10"/>
                <c:pt idx="0">
                  <c:v>CAFFE</c:v>
                </c:pt>
                <c:pt idx="1">
                  <c:v>CAFFE CORRETTO</c:v>
                </c:pt>
                <c:pt idx="2">
                  <c:v>CAFFE E LATTE</c:v>
                </c:pt>
                <c:pt idx="3">
                  <c:v>CAFFE MACCHIATO CALDO</c:v>
                </c:pt>
                <c:pt idx="4">
                  <c:v>CAPPUCCINO</c:v>
                </c:pt>
                <c:pt idx="5">
                  <c:v>GINSENG AMARO</c:v>
                </c:pt>
                <c:pt idx="6">
                  <c:v>GINSENG DOLCE</c:v>
                </c:pt>
                <c:pt idx="7">
                  <c:v>MIGNON</c:v>
                </c:pt>
                <c:pt idx="8">
                  <c:v>PASTA</c:v>
                </c:pt>
                <c:pt idx="9">
                  <c:v>BISCOTTO FARCITO</c:v>
                </c:pt>
              </c:strCache>
            </c:strRef>
          </c:cat>
          <c:val>
            <c:numRef>
              <c:f>MARGINE_CAFFETTERIA!$B$4:$B$14</c:f>
              <c:numCache>
                <c:formatCode>0%</c:formatCode>
                <c:ptCount val="10"/>
                <c:pt idx="0">
                  <c:v>0.81661891117478513</c:v>
                </c:pt>
                <c:pt idx="1">
                  <c:v>0.89</c:v>
                </c:pt>
                <c:pt idx="2">
                  <c:v>0.80750000000000011</c:v>
                </c:pt>
                <c:pt idx="3">
                  <c:v>0.83452991452991454</c:v>
                </c:pt>
                <c:pt idx="4">
                  <c:v>0.8307692307692307</c:v>
                </c:pt>
                <c:pt idx="5">
                  <c:v>0.76086956521739124</c:v>
                </c:pt>
                <c:pt idx="6">
                  <c:v>0.77051460361613355</c:v>
                </c:pt>
                <c:pt idx="7">
                  <c:v>0.52581453634085218</c:v>
                </c:pt>
                <c:pt idx="8">
                  <c:v>0.4676543209876543</c:v>
                </c:pt>
                <c:pt idx="9">
                  <c:v>0.53022967101179397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6-4A2F-91F3-2C3D3D3B0ED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0763359"/>
        <c:axId val="1070762879"/>
      </c:barChart>
      <c:catAx>
        <c:axId val="107076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2879"/>
        <c:crosses val="autoZero"/>
        <c:auto val="1"/>
        <c:lblAlgn val="ctr"/>
        <c:lblOffset val="100"/>
        <c:noMultiLvlLbl val="0"/>
      </c:catAx>
      <c:valAx>
        <c:axId val="1070762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[CHIUSURA 23-02-2026.xlsx]MARGINE_VINI_BIANCHI!DRINK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Vini bianchi con più margine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MARGINE_VINI_BIANCHI!$B$3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MARGINE_VINI_BIANCHI!$A$4:$A$8</c:f>
              <c:strCache>
                <c:ptCount val="4"/>
                <c:pt idx="0">
                  <c:v>CALA REALE BOTTIGLIA</c:v>
                </c:pt>
                <c:pt idx="1">
                  <c:v>CALICE VINO BIANCO</c:v>
                </c:pt>
                <c:pt idx="2">
                  <c:v>CALICE BLU</c:v>
                </c:pt>
                <c:pt idx="3">
                  <c:v>CALICE GEWURZTRAMINER</c:v>
                </c:pt>
              </c:strCache>
            </c:strRef>
          </c:cat>
          <c:val>
            <c:numRef>
              <c:f>MARGINE_VINI_BIANCHI!$B$4:$B$8</c:f>
              <c:numCache>
                <c:formatCode>0%</c:formatCode>
                <c:ptCount val="4"/>
                <c:pt idx="0">
                  <c:v>0.61683333333333334</c:v>
                </c:pt>
                <c:pt idx="1">
                  <c:v>0.75579999999999992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3-443A-AE20-005A1746F88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0763359"/>
        <c:axId val="1070762879"/>
      </c:barChart>
      <c:catAx>
        <c:axId val="107076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2879"/>
        <c:crosses val="autoZero"/>
        <c:auto val="1"/>
        <c:lblAlgn val="ctr"/>
        <c:lblOffset val="100"/>
        <c:noMultiLvlLbl val="0"/>
      </c:catAx>
      <c:valAx>
        <c:axId val="1070762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[CHIUSURA 23-02-2026.xlsx]MARGINE_VINI_ROSSI_ROSATI!DRINK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Vini rossi e</a:t>
            </a:r>
            <a:r>
              <a:rPr lang="en-US" baseline="0"/>
              <a:t> rosati</a:t>
            </a:r>
            <a:r>
              <a:rPr lang="en-US"/>
              <a:t> con più margine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MARGINE_VINI_ROSSI_ROSATI!$B$3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MARGINE_VINI_ROSSI_ROSATI!$A$4:$A$8</c:f>
              <c:strCache>
                <c:ptCount val="4"/>
                <c:pt idx="0">
                  <c:v>CALICE BOVALE</c:v>
                </c:pt>
                <c:pt idx="1">
                  <c:v>CALICE KRESSIA</c:v>
                </c:pt>
                <c:pt idx="2">
                  <c:v>CALICE VINO ROSSO</c:v>
                </c:pt>
                <c:pt idx="3">
                  <c:v>CALICE AKENTA ROSE</c:v>
                </c:pt>
              </c:strCache>
            </c:strRef>
          </c:cat>
          <c:val>
            <c:numRef>
              <c:f>MARGINE_VINI_ROSSI_ROSATI!$B$4:$B$8</c:f>
              <c:numCache>
                <c:formatCode>0%</c:formatCode>
                <c:ptCount val="4"/>
                <c:pt idx="0">
                  <c:v>0.83282438901486511</c:v>
                </c:pt>
                <c:pt idx="1">
                  <c:v>0.71928000000000003</c:v>
                </c:pt>
                <c:pt idx="2">
                  <c:v>0.73599999999999999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6E-442D-9C8F-D9F3D02C1E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0763359"/>
        <c:axId val="1070762879"/>
      </c:barChart>
      <c:catAx>
        <c:axId val="107076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2879"/>
        <c:crosses val="autoZero"/>
        <c:auto val="1"/>
        <c:lblAlgn val="ctr"/>
        <c:lblOffset val="100"/>
        <c:noMultiLvlLbl val="0"/>
      </c:catAx>
      <c:valAx>
        <c:axId val="1070762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[CHIUSURA 23-02-2026.xlsx]MARGINE_SPUMANTI_PROSECCO!DRINK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Spumanti e prosecco con più margine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MARGINE_SPUMANTI_PROSECCO!$B$3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MARGINE_SPUMANTI_PROSECCO!$A$4</c:f>
              <c:strCache>
                <c:ptCount val="1"/>
                <c:pt idx="0">
                  <c:v>Totale complessivo</c:v>
                </c:pt>
              </c:strCache>
            </c:strRef>
          </c:cat>
          <c:val>
            <c:numRef>
              <c:f>MARGINE_SPUMANTI_PROSECCO!$B$4</c:f>
              <c:numCache>
                <c:formatCode>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B9C-4F53-AB47-54CCFE552D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70763359"/>
        <c:axId val="1070762879"/>
      </c:barChart>
      <c:catAx>
        <c:axId val="1070763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2879"/>
        <c:crosses val="autoZero"/>
        <c:auto val="1"/>
        <c:lblAlgn val="ctr"/>
        <c:lblOffset val="100"/>
        <c:noMultiLvlLbl val="0"/>
      </c:catAx>
      <c:valAx>
        <c:axId val="10707628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70763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23-02-2026.xlsx]PIVOT CAT QTA!PIVOT_QT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>
                    <a:lumMod val="75000"/>
                    <a:lumOff val="2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it-IT" sz="1800" b="1" i="0" u="none" strike="noStrike" kern="1200" baseline="0">
                <a:solidFill>
                  <a:srgbClr val="000000">
                    <a:lumMod val="75000"/>
                    <a:lumOff val="25000"/>
                  </a:srgbClr>
                </a:solidFill>
              </a:rPr>
              <a:t>Le 5 categorie più vendute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800" b="1" i="0" u="none" strike="noStrike" kern="1200" baseline="0">
              <a:solidFill>
                <a:srgbClr val="000000">
                  <a:lumMod val="75000"/>
                  <a:lumOff val="25000"/>
                </a:srgb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CAT QTA'!$B$3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CAT QTA'!$A$4:$A$9</c:f>
              <c:strCache>
                <c:ptCount val="5"/>
                <c:pt idx="0">
                  <c:v>--AMARI E LIQUORI--</c:v>
                </c:pt>
                <c:pt idx="1">
                  <c:v>--APERITIVI--</c:v>
                </c:pt>
                <c:pt idx="2">
                  <c:v>--BIBITE--</c:v>
                </c:pt>
                <c:pt idx="3">
                  <c:v>--BIRRE--</c:v>
                </c:pt>
                <c:pt idx="4">
                  <c:v>--CAFFETTERIA--</c:v>
                </c:pt>
              </c:strCache>
            </c:strRef>
          </c:cat>
          <c:val>
            <c:numRef>
              <c:f>'PIVOT CAT QTA'!$B$4:$B$9</c:f>
              <c:numCache>
                <c:formatCode>General</c:formatCode>
                <c:ptCount val="5"/>
                <c:pt idx="0">
                  <c:v>22</c:v>
                </c:pt>
                <c:pt idx="1">
                  <c:v>24</c:v>
                </c:pt>
                <c:pt idx="2">
                  <c:v>33</c:v>
                </c:pt>
                <c:pt idx="3">
                  <c:v>29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30-4BCD-B163-3D6D07F1E8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5763087"/>
        <c:axId val="125763567"/>
      </c:barChart>
      <c:catAx>
        <c:axId val="125763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5763567"/>
        <c:crosses val="autoZero"/>
        <c:auto val="1"/>
        <c:lblAlgn val="ctr"/>
        <c:lblOffset val="100"/>
        <c:noMultiLvlLbl val="0"/>
      </c:catAx>
      <c:valAx>
        <c:axId val="1257635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5763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[CHIUSURA 23-02-2026.xlsx]BIRRA!PIVOT_QT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 birre più vendute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BIRRA!$B$3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BIRRA!$A$4:$A$9</c:f>
              <c:strCache>
                <c:ptCount val="5"/>
                <c:pt idx="0">
                  <c:v>CARAFFA HEINEKEN 1L</c:v>
                </c:pt>
                <c:pt idx="1">
                  <c:v>HEINEKEN ANALCOLICA</c:v>
                </c:pt>
                <c:pt idx="2">
                  <c:v>SPINA BLANCHE 0,33</c:v>
                </c:pt>
                <c:pt idx="3">
                  <c:v>SPINA HEINEKEN 0,25</c:v>
                </c:pt>
                <c:pt idx="4">
                  <c:v>SPINA HEINEKEN 0,50</c:v>
                </c:pt>
              </c:strCache>
            </c:strRef>
          </c:cat>
          <c:val>
            <c:numRef>
              <c:f>BIRRA!$B$4:$B$9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7-46E6-9D12-EB1FE7D0E49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72001887"/>
        <c:axId val="772003327"/>
      </c:barChart>
      <c:catAx>
        <c:axId val="772001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2003327"/>
        <c:crosses val="autoZero"/>
        <c:auto val="1"/>
        <c:lblAlgn val="ctr"/>
        <c:lblOffset val="100"/>
        <c:noMultiLvlLbl val="0"/>
      </c:catAx>
      <c:valAx>
        <c:axId val="7720033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2001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[CHIUSURA 23-02-2026.xlsx]BIRRA_MARGINE!PIVOT_MARGINE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Birre con più margine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BIRRA_MARGINE!$B$3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BIRRA_MARGINE!$A$4:$A$9</c:f>
              <c:strCache>
                <c:ptCount val="5"/>
                <c:pt idx="0">
                  <c:v>CARAFFA HEINEKEN 1L</c:v>
                </c:pt>
                <c:pt idx="1">
                  <c:v>HEINEKEN ANALCOLICA</c:v>
                </c:pt>
                <c:pt idx="2">
                  <c:v>SPINA BLANCHE 0,33</c:v>
                </c:pt>
                <c:pt idx="3">
                  <c:v>SPINA HEINEKEN 0,25</c:v>
                </c:pt>
                <c:pt idx="4">
                  <c:v>SPINA HEINEKEN 0,50</c:v>
                </c:pt>
              </c:strCache>
            </c:strRef>
          </c:cat>
          <c:val>
            <c:numRef>
              <c:f>BIRRA_MARGINE!$B$4:$B$9</c:f>
              <c:numCache>
                <c:formatCode>0%</c:formatCode>
                <c:ptCount val="5"/>
                <c:pt idx="0">
                  <c:v>0.6791666666666667</c:v>
                </c:pt>
                <c:pt idx="1">
                  <c:v>0.73359375000000004</c:v>
                </c:pt>
                <c:pt idx="2">
                  <c:v>0.42585499999999993</c:v>
                </c:pt>
                <c:pt idx="3">
                  <c:v>0.71413352272727271</c:v>
                </c:pt>
                <c:pt idx="4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E-4BF8-A15A-64906E78386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941491391"/>
        <c:axId val="941494543"/>
      </c:barChart>
      <c:catAx>
        <c:axId val="941491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1494543"/>
        <c:crosses val="autoZero"/>
        <c:auto val="1"/>
        <c:lblAlgn val="ctr"/>
        <c:lblOffset val="100"/>
        <c:noMultiLvlLbl val="0"/>
      </c:catAx>
      <c:valAx>
        <c:axId val="94149454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94149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0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177800</xdr:rowOff>
    </xdr:from>
    <xdr:to>
      <xdr:col>3</xdr:col>
      <xdr:colOff>558800</xdr:colOff>
      <xdr:row>24</xdr:row>
      <xdr:rowOff>158750</xdr:rowOff>
    </xdr:to>
    <xdr:graphicFrame macro="">
      <xdr:nvGraphicFramePr>
        <xdr:cNvPr id="2" name="Antipasti">
          <a:extLst>
            <a:ext uri="{FF2B5EF4-FFF2-40B4-BE49-F238E27FC236}">
              <a16:creationId xmlns:a16="http://schemas.microsoft.com/office/drawing/2014/main" id="{98AC5A5A-537B-4706-B3CB-E9041845F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177800</xdr:rowOff>
    </xdr:from>
    <xdr:to>
      <xdr:col>3</xdr:col>
      <xdr:colOff>558800</xdr:colOff>
      <xdr:row>24</xdr:row>
      <xdr:rowOff>158750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2EB150E-3A78-A7A2-2B2D-A09F93F7D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177800</xdr:rowOff>
    </xdr:from>
    <xdr:to>
      <xdr:col>3</xdr:col>
      <xdr:colOff>457200</xdr:colOff>
      <xdr:row>24</xdr:row>
      <xdr:rowOff>158750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F64AC09-B181-1869-EF3D-3F90949054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1320800</xdr:colOff>
      <xdr:row>3</xdr:row>
      <xdr:rowOff>12700</xdr:rowOff>
    </xdr:from>
    <xdr:to>
      <xdr:col>9</xdr:col>
      <xdr:colOff>463550</xdr:colOff>
      <xdr:row>17</xdr:row>
      <xdr:rowOff>177800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BE0EA74-28BE-4433-86A9-42991EAE50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25400</xdr:rowOff>
    </xdr:from>
    <xdr:to>
      <xdr:col>3</xdr:col>
      <xdr:colOff>615950</xdr:colOff>
      <xdr:row>31</xdr:row>
      <xdr:rowOff>6350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AAB7DBA4-3169-4983-9DD8-B3C9D72C1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25400</xdr:rowOff>
    </xdr:from>
    <xdr:to>
      <xdr:col>3</xdr:col>
      <xdr:colOff>615950</xdr:colOff>
      <xdr:row>31</xdr:row>
      <xdr:rowOff>6350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5210EE9-6933-46D1-8B1C-D6886341A3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25400</xdr:rowOff>
    </xdr:from>
    <xdr:to>
      <xdr:col>3</xdr:col>
      <xdr:colOff>615950</xdr:colOff>
      <xdr:row>31</xdr:row>
      <xdr:rowOff>6350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6B20594-1972-40AC-8A49-BC6653873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25400</xdr:rowOff>
    </xdr:from>
    <xdr:to>
      <xdr:col>3</xdr:col>
      <xdr:colOff>615950</xdr:colOff>
      <xdr:row>31</xdr:row>
      <xdr:rowOff>6350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DC95A82-C283-4261-9827-B08111E332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0</xdr:row>
      <xdr:rowOff>177800</xdr:rowOff>
    </xdr:from>
    <xdr:to>
      <xdr:col>9</xdr:col>
      <xdr:colOff>165100</xdr:colOff>
      <xdr:row>15</xdr:row>
      <xdr:rowOff>158750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8B0450D6-A7E0-E34C-99C2-93013D4A56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177800</xdr:rowOff>
    </xdr:from>
    <xdr:to>
      <xdr:col>3</xdr:col>
      <xdr:colOff>558800</xdr:colOff>
      <xdr:row>24</xdr:row>
      <xdr:rowOff>158750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71705C9-7031-4515-8AC3-779D24CCC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177800</xdr:rowOff>
    </xdr:from>
    <xdr:to>
      <xdr:col>3</xdr:col>
      <xdr:colOff>558800</xdr:colOff>
      <xdr:row>24</xdr:row>
      <xdr:rowOff>158750</xdr:rowOff>
    </xdr:to>
    <xdr:graphicFrame macro="">
      <xdr:nvGraphicFramePr>
        <xdr:cNvPr id="2" name="vini_bianchi">
          <a:extLst>
            <a:ext uri="{FF2B5EF4-FFF2-40B4-BE49-F238E27FC236}">
              <a16:creationId xmlns:a16="http://schemas.microsoft.com/office/drawing/2014/main" id="{8C56568A-FF62-41B5-A96D-BE0FFC502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177800</xdr:rowOff>
    </xdr:from>
    <xdr:to>
      <xdr:col>3</xdr:col>
      <xdr:colOff>558800</xdr:colOff>
      <xdr:row>24</xdr:row>
      <xdr:rowOff>158750</xdr:rowOff>
    </xdr:to>
    <xdr:graphicFrame macro="">
      <xdr:nvGraphicFramePr>
        <xdr:cNvPr id="2" name="Spumanti_Prosecco">
          <a:extLst>
            <a:ext uri="{FF2B5EF4-FFF2-40B4-BE49-F238E27FC236}">
              <a16:creationId xmlns:a16="http://schemas.microsoft.com/office/drawing/2014/main" id="{BFA27C7F-9D07-480B-85E8-E536EAE66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11</xdr:row>
      <xdr:rowOff>76200</xdr:rowOff>
    </xdr:from>
    <xdr:to>
      <xdr:col>7</xdr:col>
      <xdr:colOff>12700</xdr:colOff>
      <xdr:row>26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04E7772-1F95-A739-CC9E-761F630F18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11</xdr:row>
      <xdr:rowOff>76200</xdr:rowOff>
    </xdr:from>
    <xdr:to>
      <xdr:col>7</xdr:col>
      <xdr:colOff>12700</xdr:colOff>
      <xdr:row>26</xdr:row>
      <xdr:rowOff>57150</xdr:rowOff>
    </xdr:to>
    <xdr:graphicFrame macro="">
      <xdr:nvGraphicFramePr>
        <xdr:cNvPr id="2" name="primi_marg">
          <a:extLst>
            <a:ext uri="{FF2B5EF4-FFF2-40B4-BE49-F238E27FC236}">
              <a16:creationId xmlns:a16="http://schemas.microsoft.com/office/drawing/2014/main" id="{C81BEAD5-9767-4B71-9DF4-D7C7B095B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11</xdr:row>
      <xdr:rowOff>76200</xdr:rowOff>
    </xdr:from>
    <xdr:to>
      <xdr:col>7</xdr:col>
      <xdr:colOff>12700</xdr:colOff>
      <xdr:row>26</xdr:row>
      <xdr:rowOff>57150</xdr:rowOff>
    </xdr:to>
    <xdr:graphicFrame macro="">
      <xdr:nvGraphicFramePr>
        <xdr:cNvPr id="2" name="secondi_marg">
          <a:extLst>
            <a:ext uri="{FF2B5EF4-FFF2-40B4-BE49-F238E27FC236}">
              <a16:creationId xmlns:a16="http://schemas.microsoft.com/office/drawing/2014/main" id="{9C678A01-D87E-4621-B32F-74E89C8D5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11</xdr:row>
      <xdr:rowOff>76200</xdr:rowOff>
    </xdr:from>
    <xdr:to>
      <xdr:col>7</xdr:col>
      <xdr:colOff>12700</xdr:colOff>
      <xdr:row>26</xdr:row>
      <xdr:rowOff>57150</xdr:rowOff>
    </xdr:to>
    <xdr:graphicFrame macro="">
      <xdr:nvGraphicFramePr>
        <xdr:cNvPr id="2" name="pizze_marg">
          <a:extLst>
            <a:ext uri="{FF2B5EF4-FFF2-40B4-BE49-F238E27FC236}">
              <a16:creationId xmlns:a16="http://schemas.microsoft.com/office/drawing/2014/main" id="{B3142D8D-FA98-4269-A33C-C648B350E6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11</xdr:row>
      <xdr:rowOff>76200</xdr:rowOff>
    </xdr:from>
    <xdr:to>
      <xdr:col>7</xdr:col>
      <xdr:colOff>12700</xdr:colOff>
      <xdr:row>26</xdr:row>
      <xdr:rowOff>57150</xdr:rowOff>
    </xdr:to>
    <xdr:graphicFrame macro="">
      <xdr:nvGraphicFramePr>
        <xdr:cNvPr id="2" name="hamburger_marg">
          <a:extLst>
            <a:ext uri="{FF2B5EF4-FFF2-40B4-BE49-F238E27FC236}">
              <a16:creationId xmlns:a16="http://schemas.microsoft.com/office/drawing/2014/main" id="{6142321F-4777-4D1D-95D3-DF17D426F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565150</xdr:colOff>
      <xdr:row>11</xdr:row>
      <xdr:rowOff>76200</xdr:rowOff>
    </xdr:from>
    <xdr:to>
      <xdr:col>7</xdr:col>
      <xdr:colOff>12700</xdr:colOff>
      <xdr:row>26</xdr:row>
      <xdr:rowOff>57150</xdr:rowOff>
    </xdr:to>
    <xdr:graphicFrame macro="">
      <xdr:nvGraphicFramePr>
        <xdr:cNvPr id="2" name="Antipasti_marg">
          <a:extLst>
            <a:ext uri="{FF2B5EF4-FFF2-40B4-BE49-F238E27FC236}">
              <a16:creationId xmlns:a16="http://schemas.microsoft.com/office/drawing/2014/main" id="{66E7AFCD-9AC3-4BA1-B6EE-965E72687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577850</xdr:colOff>
      <xdr:row>11</xdr:row>
      <xdr:rowOff>6350</xdr:rowOff>
    </xdr:from>
    <xdr:to>
      <xdr:col>7</xdr:col>
      <xdr:colOff>25400</xdr:colOff>
      <xdr:row>25</xdr:row>
      <xdr:rowOff>171450</xdr:rowOff>
    </xdr:to>
    <xdr:graphicFrame macro="">
      <xdr:nvGraphicFramePr>
        <xdr:cNvPr id="2" name="dolci_marg">
          <a:extLst>
            <a:ext uri="{FF2B5EF4-FFF2-40B4-BE49-F238E27FC236}">
              <a16:creationId xmlns:a16="http://schemas.microsoft.com/office/drawing/2014/main" id="{B8F9F095-17DC-446C-ADB8-262E873AF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577850</xdr:colOff>
      <xdr:row>11</xdr:row>
      <xdr:rowOff>6350</xdr:rowOff>
    </xdr:from>
    <xdr:to>
      <xdr:col>7</xdr:col>
      <xdr:colOff>25400</xdr:colOff>
      <xdr:row>25</xdr:row>
      <xdr:rowOff>171450</xdr:rowOff>
    </xdr:to>
    <xdr:graphicFrame macro="">
      <xdr:nvGraphicFramePr>
        <xdr:cNvPr id="2" name="caffetteria_marg">
          <a:extLst>
            <a:ext uri="{FF2B5EF4-FFF2-40B4-BE49-F238E27FC236}">
              <a16:creationId xmlns:a16="http://schemas.microsoft.com/office/drawing/2014/main" id="{8CD55963-EC56-42D5-ADA4-2F85343A3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577850</xdr:colOff>
      <xdr:row>11</xdr:row>
      <xdr:rowOff>6350</xdr:rowOff>
    </xdr:from>
    <xdr:to>
      <xdr:col>7</xdr:col>
      <xdr:colOff>25400</xdr:colOff>
      <xdr:row>25</xdr:row>
      <xdr:rowOff>171450</xdr:rowOff>
    </xdr:to>
    <xdr:graphicFrame macro="">
      <xdr:nvGraphicFramePr>
        <xdr:cNvPr id="2" name="vini_bianchi_marg">
          <a:extLst>
            <a:ext uri="{FF2B5EF4-FFF2-40B4-BE49-F238E27FC236}">
              <a16:creationId xmlns:a16="http://schemas.microsoft.com/office/drawing/2014/main" id="{D5794314-6511-4AF6-B97B-9F45ECF16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577850</xdr:colOff>
      <xdr:row>11</xdr:row>
      <xdr:rowOff>6350</xdr:rowOff>
    </xdr:from>
    <xdr:to>
      <xdr:col>7</xdr:col>
      <xdr:colOff>25400</xdr:colOff>
      <xdr:row>25</xdr:row>
      <xdr:rowOff>171450</xdr:rowOff>
    </xdr:to>
    <xdr:graphicFrame macro="">
      <xdr:nvGraphicFramePr>
        <xdr:cNvPr id="2" name="vini_rossi_rosati_marg">
          <a:extLst>
            <a:ext uri="{FF2B5EF4-FFF2-40B4-BE49-F238E27FC236}">
              <a16:creationId xmlns:a16="http://schemas.microsoft.com/office/drawing/2014/main" id="{8CB4C86F-AE16-4D71-8DB0-AAFD0CC2F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577850</xdr:colOff>
      <xdr:row>11</xdr:row>
      <xdr:rowOff>6350</xdr:rowOff>
    </xdr:from>
    <xdr:to>
      <xdr:col>7</xdr:col>
      <xdr:colOff>25400</xdr:colOff>
      <xdr:row>25</xdr:row>
      <xdr:rowOff>171450</xdr:rowOff>
    </xdr:to>
    <xdr:graphicFrame macro="">
      <xdr:nvGraphicFramePr>
        <xdr:cNvPr id="2" name="spumanti_prosecco_marg">
          <a:extLst>
            <a:ext uri="{FF2B5EF4-FFF2-40B4-BE49-F238E27FC236}">
              <a16:creationId xmlns:a16="http://schemas.microsoft.com/office/drawing/2014/main" id="{766097F1-0A84-4ABB-8C71-5ADBA1D4D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1076325</xdr:colOff>
      <xdr:row>11</xdr:row>
      <xdr:rowOff>76200</xdr:rowOff>
    </xdr:from>
    <xdr:to>
      <xdr:col>5</xdr:col>
      <xdr:colOff>1216025</xdr:colOff>
      <xdr:row>26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F254F081-1911-6E56-36DF-15A4FB75A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952500</xdr:colOff>
      <xdr:row>11</xdr:row>
      <xdr:rowOff>76200</xdr:rowOff>
    </xdr:from>
    <xdr:to>
      <xdr:col>5</xdr:col>
      <xdr:colOff>838200</xdr:colOff>
      <xdr:row>26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C930107-C455-C259-CAC6-C595F6B001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971550</xdr:colOff>
      <xdr:row>11</xdr:row>
      <xdr:rowOff>76200</xdr:rowOff>
    </xdr:from>
    <xdr:to>
      <xdr:col>7</xdr:col>
      <xdr:colOff>419100</xdr:colOff>
      <xdr:row>26</xdr:row>
      <xdr:rowOff>57150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41AF32CF-4A49-4CF9-BF21-26CED820C4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6077.399401736111" createdVersion="8" refreshedVersion="8" minRefreshableVersion="3" recordCount="72" xr:uid="{870AA5A2-4D3D-4E11-9503-FA86ECC1A98F}">
  <cacheSource type="worksheet">
    <worksheetSource name="Chiusura"/>
  </cacheSource>
  <cacheFields count="14">
    <cacheField name="PRODOTTO" numFmtId="0">
      <sharedItems count="388">
        <s v="COPERTO"/>
        <s v="FISH"/>
        <s v="CAPPUCCINO"/>
        <s v="PASTA"/>
        <s v="CAFFE"/>
        <s v="CAFFE MACCHIATO CALDO"/>
        <s v="GINSENG DOLCE"/>
        <s v="CAFFE E LATTE"/>
        <s v="GINSENG AMARO"/>
        <s v="MIGNON"/>
        <s v="BISCOTTO FARCITO"/>
        <s v="CAFFE CORRETTO"/>
        <s v="ACQUA BICC GAS"/>
        <s v="ACQUA GAS 0,50"/>
        <s v="COCA COLA ZERO"/>
        <s v="SPREMUTA"/>
        <s v="ACQUA NAT 0,75"/>
        <s v="COCA COLA"/>
        <s v="FANTA"/>
        <s v="SPRITE"/>
        <s v="ACQUA BICC NAT"/>
        <s v="ACQUA NAT 0,50"/>
        <s v="COCKTAIL SANPELLEGRINO"/>
        <s v="SPRITZ APEROL"/>
        <s v="NEGRONI"/>
        <s v="CAMPARI SODA"/>
        <s v="SPINA HEINEKEN 0,25"/>
        <s v="HEINEKEN ANALCOLICA"/>
        <s v="SPINA BLANCHE 0,33"/>
        <s v="CARAFFA HEINEKEN 1L"/>
        <s v="SPINA HEINEKEN 0,50"/>
        <s v="LIMONCINO"/>
        <s v="BRANCA MENTA"/>
        <s v="MIRTO ROSSO"/>
        <s v="BAYLES"/>
        <s v="CYNAR"/>
        <s v="AMARO DEL CAPO"/>
        <s v="GIN MARE"/>
        <s v="SHOT"/>
        <s v="CALICE BLU"/>
        <s v="CALA REALE BOTTIGLIA"/>
        <s v="CALICE GEWURZTRAMINER"/>
        <s v="CALICE VINO BIANCO"/>
        <s v="CALICE KRESSIA"/>
        <s v="CALICE BOVALE"/>
        <s v="CALICE AKENTA ROSE"/>
        <s v="CALICE VINO ROSSO"/>
        <s v="TRAMEZZINO"/>
        <s v="MENU GASTRONOMIA"/>
        <s v="ANTIPASTO DEL GIORNO"/>
        <s v="POLPETTE ALLA CARBONARA"/>
        <s v="PRIMO DEL GIORNO CON ACQUA"/>
        <s v="RIGATONI ALLA CARBONARA"/>
        <s v="REGINETTE IMPERIALI"/>
        <s v="SECONDO DEL GIORNO CON ACQUA"/>
        <s v="SECONDO DEL GIORNO"/>
        <s v="COTOLETTA DI MAIALE"/>
        <s v="COSTATA DI SCOTTONA"/>
        <s v="TAGLIATA DI MANZO"/>
        <s v="HAMBURGER PANINO"/>
        <s v="BREAD AND PORK"/>
        <s v="PATATE FRITTE"/>
        <s v="INSALATA DELLA CASA"/>
        <s v="CAPRESE"/>
        <s v="COTOLETTA BABY"/>
        <s v="TIRAMISU"/>
        <s v="GELATO PRINCIPESSA"/>
        <s v="NAPOLI"/>
        <s v="ORTOLANA"/>
        <s v="MARGHERITA"/>
        <s v="RUSTICA"/>
        <s v="SERVIZIO"/>
        <s v="LATTE BIANCO" u="1"/>
        <s v="EGOCCINO" u="1"/>
        <s v="CAPPUCCINO GINSENG" u="1"/>
        <s v="THE CALDO" u="1"/>
        <s v="TISANA" u="1"/>
        <s v="CAFFE DEK" u="1"/>
        <s v="THE PESCA" u="1"/>
        <s v="ACQUA GAS 0,75" u="1"/>
        <s v="SUCCO ANANAS" u="1"/>
        <s v="SUCCO ACE" u="1"/>
        <s v="SUCCO PERA" u="1"/>
        <s v="THE LIMONE" u="1"/>
        <s v="CARDINALE" u="1"/>
        <s v="APEROL SODA" u="1"/>
        <s v="APERITIVO CASA ANALCOLICO" u="1"/>
        <s v="SPRITZ CAMPARI" u="1"/>
        <s v="SPINA BLANCHE 0,50" u="1"/>
        <s v="SPINA ICH CRUDA 0,20" u="1"/>
        <s v="SPINA LAGUNITAS 0,40" u="1"/>
        <s v="HEINEKEN ALLUMINIO" u="1"/>
        <s v="SPINA ICH CRUDA 0,50" u="1"/>
        <s v="CARAFFA HEINEKEN 1,5L" u="1"/>
        <s v="MENABREA BIONDA" u="1"/>
        <s v="MONTENEGRO" u="1"/>
        <s v="LIQUIRIZIA" u="1"/>
        <s v="AMARO" u="1"/>
        <s v="ZACAPA CENT. 23" u="1"/>
        <s v="TANQUERAY" u="1"/>
        <s v="TANQUERAY 0.0" u="1"/>
        <s v="TANQUERAY TEN" u="1"/>
        <s v="HENDRICK'S" u="1"/>
        <s v="TANQUERAY SEVILLA" u="1"/>
        <s v="BELVEDERE" u="1"/>
        <s v="GRAPPA BIANCA" u="1"/>
        <s v="GIN TONIC" u="1"/>
        <s v="COCKTAIL ANALCOLICO" u="1"/>
        <s v="GIN TONIC MARE" u="1"/>
        <s v="GIN LEMON" u="1"/>
        <s v="VODKA RED BULL" u="1"/>
        <s v="RUM E COLA" u="1"/>
        <s v="CALICE CHLAMYS" u="1"/>
        <s v="CALICE CALA REALE" u="1"/>
        <s v="CALICE CENTO GEMME" u="1"/>
        <s v="CALICE BRANU" u="1"/>
        <s v="CALICE TANCA FARRA" u="1"/>
        <s v="CALICE MEDEUS" u="1"/>
        <s v="NEPENTE BOTTIGLIA" u="1"/>
        <s v="CALICE PROSECCO" u="1"/>
        <s v="AKENTA BOTTIGLIA" u="1"/>
        <s v="TOAST" u="1"/>
        <s v="AMERICAN EGO" u="1"/>
        <s v="REGINETTE PROFUMO MARE" u="1"/>
        <s v="PACCHERO ALLA CARBONARA" u="1"/>
        <s v="TAGLIATELLA VONGOLE E BOTTARGA" u="1"/>
        <s v="TAGLIATELLA VEGANA" u="1"/>
        <s v="PROPOSTA DELLO CHEF" u="1"/>
        <s v="FETTINA CAVALLO BRACE" u="1"/>
        <s v="HAMBURGER SCOTTONA BRACE" u="1"/>
        <s v="STINCO DI MAIALE" u="1"/>
        <s v="RIBS DI MAIALE IN SALSA BBQ" u="1"/>
        <s v="FRITTURA MISTA MARE" u="1"/>
        <s v="CAVALLO PANINO" u="1"/>
        <s v="COTOLETTA PANINO" u="1"/>
        <s v="CEASAR SALAD" u="1"/>
        <s v="REGINETTE AL POMODORO" u="1"/>
        <s v="RED VELVET" u="1"/>
        <s v="CROSTATA NUTELLA DI PISTACCHIO" u="1"/>
        <s v="DOLCE DELLA CASA" u="1"/>
        <s v="GELATO PANDA" u="1"/>
        <s v="CHEESECAKE CARAMELLO SALATO" u="1"/>
        <s v="CHEESCAKE" u="1"/>
        <s v="TORTINO TARTUFO NERO" u="1"/>
        <s v="SORBETTO" u="1"/>
        <s v="PIZZA DEL GIORNO" u="1"/>
        <s v="SALSICCIA E FRIARIELLI" u="1"/>
        <s v="PANE PIZZA" u="1"/>
        <s v="4 STAGIONI" u="1"/>
        <s v="MARINARA" u="1"/>
        <s v="CAPRICCIOSA" u="1"/>
        <s v="TEDESCA" u="1"/>
        <s v="PARMIGIANA" u="1"/>
        <s v="CARBONARA" u="1"/>
        <s v="BUFALINA" u="1"/>
        <s v="PROSCIUTTO E FUNGHI" u="1"/>
        <s v="BOMBETTA" u="1"/>
        <s v="GUSTO SARDO" u="1"/>
        <s v="MONTANARA" u="1"/>
        <s v="PORCHETTA" u="1"/>
        <s v="PIZZA SEADAS" u="1"/>
        <s v="CIOCCOLATA" u="1"/>
        <s v="MAROCCHINO" u="1"/>
        <s v="1/2 GASATA" u="1"/>
        <s v="RED BULL" u="1"/>
        <s v="SUCCO ACE ROSSO" u="1"/>
        <s v="TONICA" u="1"/>
        <s v="APERITIVO CASA ALCOLICO" u="1"/>
        <s v="BAM BLONDE" u="1"/>
        <s v="ECLISSE" u="1"/>
        <s v="JAGERMEISTER" u="1"/>
        <s v="BALLANTINE" u="1"/>
        <s v="JACK DANIELS" u="1"/>
        <s v="BOULEVARDIER" u="1"/>
        <s v="COCKTAIL ALCOLICO" u="1"/>
        <s v="CALICE MIRALL" u="1"/>
        <s v="BOTTIGLIA VINO BIANCO" u="1"/>
        <s v="CALICE ANEMONE" u="1"/>
        <s v="CALICE OSCARI" u="1"/>
        <s v="FOCACCIA" u="1"/>
        <s v="PAPA S FLAME" u="1"/>
        <s v="DRINK" u="1"/>
        <s v="POLENTA PORCINI E SALSICCIA" u="1"/>
        <s v="POLENTA GORGONZOLA E SPINACI" u="1"/>
        <s v="PATATE ARROSTO" u="1"/>
        <s v="VERDURE DI STAGIONE" u="1"/>
        <s v="CHEESCAKE CHEF" u="1"/>
        <s v="CREMA CATALANA" u="1"/>
        <s v="RIO MARE" u="1"/>
        <s v="4 FORMAGGI" u="1"/>
        <s v="CAMPIDANESE" u="1"/>
        <s v="MARE NOSTRUM" u="1"/>
        <s v="MORTADELLA E BURRATA" u="1"/>
        <s v="CAFFE AMERICANO" u="1"/>
        <s v="1/2 NATURALE" u="1"/>
        <s v="LATTE MACCHIATO" u="1"/>
        <s v="GINSENG AMARO GRANDE" u="1"/>
        <s v="CAFFE SHAKERATO" u="1"/>
        <s v="GINGER BEER" u="1"/>
        <s v="CRODINO" u="1"/>
        <s v="SAMBUCA" u="1"/>
        <s v="KRAKEN" u="1"/>
        <s v="SEX ON THE BEACH" u="1"/>
        <s v="KRESSIA BOTTIGLIA" u="1"/>
        <s v="POP STAR" u="1"/>
        <s v="DRIFT PASSION" u="1"/>
        <s v="COSMO EGO" u="1"/>
        <s v="SEVILLA MULE" u="1"/>
        <s v="LIGHT EGO" u="1"/>
        <s v="POLPO CON CREMA PATATE" u="1"/>
        <s v="KORN DOG" u="1"/>
        <s v="MUFFIN" u="1"/>
        <s v="CAFFE DOPPIO" u="1"/>
        <s v="CIOCCOLATA BIANCA CON NOCCIOLE" u="1"/>
        <s v="SANBITTER" u="1"/>
        <s v="CARAFFA ICH CRUDA 1,5L" u="1"/>
        <s v="GRAPPA BARRICATA" u="1"/>
        <s v="GREEN ZERO" u="1"/>
        <s v="REGINETTE IN BIANCO" u="1"/>
        <s v="DONUT" u="1"/>
        <s v="LASAGNA" u="1"/>
        <s v="TORTA DELLA NONNA" u="1"/>
        <s v="EGO" u="1"/>
        <s v="CAPPUCCINO DEK" u="1"/>
        <s v="BLODYMARY" u="1"/>
        <s v="CALICE CAGNULARI SMP" u="1"/>
        <s v="CALICE AKENTA" u="1"/>
        <s v="PRIMO DEL GIORNO" u="1"/>
        <s v="SACHER" u="1"/>
        <s v="NUTELLINA" u="1"/>
        <s v="--CLIENTE--" u="1"/>
        <s v="--CAFFETTERIA--" u="1"/>
        <s v="--BIBITE--" u="1"/>
        <s v="--BIRRE--" u="1"/>
        <s v="--VINI BIANCHI--" u="1"/>
        <s v="--VINI ROSSI E ROSATI--" u="1"/>
        <s v="--ANTIPASTI--" u="1"/>
        <s v="--PRIMI--" u="1"/>
        <s v="--SECONDI--" u="1"/>
        <s v="--BURGER MENU--" u="1"/>
        <s v="--DOLCI--" u="1"/>
        <s v="--PIZZE CLASSICHE--" u="1"/>
        <s v="AVERNA" u="1"/>
        <s v="PAO GIN" u="1"/>
        <s v="LIMONATA" u="1"/>
        <s v="SPRITZ HUGO" u="1"/>
        <s v="MENABREA ROSSA" u="1"/>
        <s v="BALADIN ISAAC" u="1"/>
        <s v="AMARETTO DISARONNO" u="1"/>
        <s v="LAGAVULLIN" u="1"/>
        <s v="MACALLAN" u="1"/>
        <s v="FILU E FERRU" u="1"/>
        <s v="OLD FASHIONED" u="1"/>
        <s v="MENU FISSO" u="1"/>
        <s v="CAMOMILLA" u="1"/>
        <s v="CIOCCOLATA FONDENTE" u="1"/>
        <s v="PERONI SENZA GLUTINE" u="1"/>
        <s v="CALICE BURANTI' ROSATO" u="1"/>
        <s v="TIRAMISU FRAGOLE" u="1"/>
        <s v="PARMA" u="1"/>
        <s v="MERAVIGLIOSA" u="1"/>
        <s v="SCHWEPPES" u="1"/>
        <s v="ABUELO 12 YO" u="1"/>
        <s v="BOVALE BOTTIGLIA" u="1"/>
        <s v="PASTA IN BIANCO" u="1"/>
        <s v="CONTORNO DEL GIORNO" u="1"/>
        <s v="CHESSECAKE" u="1"/>
        <s v="SCHIUMETTA DI LATTE" u="1"/>
        <s v="SUCCO PESCA" u="1"/>
        <s v="SPRITZ SELECT" u="1"/>
        <s v="MARTINI BIANCO" u="1"/>
        <s v="AMERICANO" u="1"/>
        <s v="MARTINI DRY" u="1"/>
        <s v="BALADIN SUPER" u="1"/>
        <s v="BALADIN L IPA" u="1"/>
        <s v="DON PAPA BAROKO" u="1"/>
        <s v="HAVANA ANEJO 7YO" u="1"/>
        <s v="MALFY ROSA" u="1"/>
        <s v="WODKA MENTA" u="1"/>
        <s v="GLENFIDDICH 15" u="1"/>
        <s v="BARRIQUE MAMUTHONE" u="1"/>
        <s v="MARGARITA" u="1"/>
        <s v="MOJITO" u="1"/>
        <s v="PINA COLADA" u="1"/>
        <s v="GIN FIZZ" u="1"/>
        <s v="NEGRONI SBAGLIATO" u="1"/>
        <s v="MOSCOW MULE" u="1"/>
        <s v="CUBA LIBRE" u="1"/>
        <s v="VODKA PESCA RED BULL" u="1"/>
        <s v="BOTTIGLIA CHLAMYS" u="1"/>
        <s v="CALICE RECONTA" u="1"/>
        <s v="BOTT RECONTA" u="1"/>
        <s v="BOTTIGLIA VINO ROSSO" u="1"/>
        <s v="TAPAS" u="1"/>
        <s v="SALAMELLE FRIARIELLI CIPOLL" u="1"/>
        <s v="CAFFE MACCHIATO FREDDO" u="1"/>
        <s v="CAFFE LUNGO" u="1"/>
        <s v="PASTA SENZA GLUTINE" u="1"/>
        <s v="CAIPIROSKA FRUTTA" u="1"/>
        <s v="CIPOLLA AGRODOLCE" u="1"/>
        <s v="HAMBURGER BABY" u="1"/>
        <s v="CREMA CAFFE" u="1"/>
        <s v="CIOCCOLATA CON PANNA" u="1"/>
        <s v="GINSENG MACCHIATO" u="1"/>
        <s v="CAFFE RISTRETTO" u="1"/>
        <s v="MACCHIATONE" u="1"/>
        <s v="CAPPUCCINO SOIA" u="1"/>
        <s v="CIOCCOLATA GIANDUIA" u="1"/>
        <s v="CIOCCOLATA BIANCA" u="1"/>
        <s v="GINSENG DOLCE GRANDE" u="1"/>
        <s v="BISCOTTO MIGNON" u="1"/>
        <s v="FROLLINO" u="1"/>
        <s v="ARANCIATA AMARA" u="1"/>
        <s v="GINGER ALE" u="1"/>
        <s v="SUCCO MIRTILLO" u="1"/>
        <s v="CEDRATA TASSONI" u="1"/>
        <s v="THE VERDE" u="1"/>
        <s v="SUCCO BANANA" u="1"/>
        <s v="CHINOTTO" u="1"/>
        <s v="BITTER CAMPARI" u="1"/>
        <s v="BALADIN NAZIONALE" u="1"/>
        <s v="BIRRA DEL BORGO" u="1"/>
        <s v="MENABREA WEISS" u="1"/>
        <s v="CARAFFA ICH CRUDA 1L" u="1"/>
        <s v="SPINA GUINESS 0,25" u="1"/>
        <s v="ICHNUSA N.F. 0,50" u="1"/>
        <s v="CARAFFA BLANCHE 1L" u="1"/>
        <s v="CORONA" u="1"/>
        <s v="UNICUM" u="1"/>
        <s v="CREMA DI WHISKEY" u="1"/>
        <s v="FERNET BRANCA" u="1"/>
        <s v="CHINA MARTINI" u="1"/>
        <s v="CREMA DI LIMONCELLO" u="1"/>
        <s v="RAMAZZOTTI" u="1"/>
        <s v="MIRTO BIANCO" u="1"/>
        <s v="LUCANO" u="1"/>
        <s v="BRAULIO" u="1"/>
        <s v="MIDORI" u="1"/>
        <s v="VECCHIA ROMAGNA" u="1"/>
        <s v="DIPLOMATICO RISERVA" u="1"/>
        <s v="ZACAPA XO" u="1"/>
        <s v="HAVANA ANEJO 3YO" u="1"/>
        <s v="TANQUERAY RANGPUR" u="1"/>
        <s v="MALFY CLASSIC" u="1"/>
        <s v="SAUZA" u="1"/>
        <s v="LAPHROAIG" u="1"/>
        <s v="GLENLIVET" u="1"/>
        <s v="RUM COOLER" u="1"/>
        <s v="WHITE RUSSIAN" u="1"/>
        <s v="VODKA SOUR" u="1"/>
        <s v="GIN TONIC HENDRICK'S" u="1"/>
        <s v="VODKA FRAGOLA RED BULL" u="1"/>
        <s v="BOTTIGLIA CENTO GEMME" u="1"/>
        <s v="BOTTIGLIA BRANU" u="1"/>
        <s v="BOTTIGLIA MIRALL" u="1"/>
        <s v="TANCA FARRA BOTTIGLIA" u="1"/>
        <s v="MEDEUS BOTTIGLIA" u="1"/>
        <s v="SARTIGLIA BOTTIGLIA" u="1"/>
        <s v="BOTTIGLIA BOVALE" u="1"/>
        <s v="CALICE SARTIGLIA" u="1"/>
        <s v="BOTTIGLIA BURANTI'" u="1"/>
        <s v="OSCARI BOTTIGLIA" u="1"/>
        <s v="BOTTIGLIA PROSECCO" u="1"/>
        <s v="PANCAKE" u="1"/>
        <s v="NEGRONI 2.0" u="1"/>
        <s v="SAMEDI S SECRET" u="1"/>
        <s v="ELITE" u="1"/>
        <s v="BEE HAPPY" u="1"/>
        <s v="BIRRA" u="1"/>
        <s v="BIBITE" u="1"/>
        <s v="VINO" u="1"/>
        <s v="ACQUA NAT" u="1"/>
        <s v="ACQUA GAS" u="1"/>
        <s v="APERITIVO" u="1"/>
        <s v="PREMIUM" u="1"/>
        <s v="BOTTIGLIA PREMIUM" u="1"/>
        <s v="BOTTIGLIA BASE" u="1"/>
        <s v="POLENTA DEL GIORNO" u="1"/>
        <s v="GNOCCHETTI AL SUGO" u="1"/>
        <s v="HAMBURGER MENU" u="1"/>
        <s v="COTOLETTA MENU" u="1"/>
        <s v="HORSE DRIVING" u="1"/>
        <s v="HAMURGER BABY + PATATE FRITTE" u="1"/>
        <s v="INSALATA MISTA" u="1"/>
        <s v="INSALATA DI POMODORI" u="1"/>
        <s v="MUFFIN ALBICOCCA" u="1"/>
        <s v="MUFFIN CIOCCOLATO" u="1"/>
        <s v="DIAVOLA" u="1"/>
      </sharedItems>
    </cacheField>
    <cacheField name="COD. PROD." numFmtId="0">
      <sharedItems containsMixedTypes="1" containsNumber="1" containsInteger="1" minValue="51" maxValue="12660"/>
    </cacheField>
    <cacheField name="CATEGORIA" numFmtId="0">
      <sharedItems count="66">
        <s v="--CLIENTE--"/>
        <s v="--CAFFETTERIA--"/>
        <s v="--BIBITE--"/>
        <s v="--APERITIVI--"/>
        <s v="--BIRRE--"/>
        <s v="--AMARI E LIQUORI--"/>
        <s v="--GIN--"/>
        <s v="--COCKTAIL--"/>
        <s v="--VINI BIANCHI--"/>
        <s v="--VINI ROSSI E ROSATI--"/>
        <s v="--SNACK E MERENDA--"/>
        <s v="--ANTIPASTI--"/>
        <s v="--PRIMI--"/>
        <s v="--SECONDI--"/>
        <s v="--BURGER MENU--"/>
        <s v="--CONTORNI--"/>
        <s v="--INSALATE--"/>
        <s v="--BABY--"/>
        <s v="--DOLCI--"/>
        <s v="--PIZZE CLASSICHE--"/>
        <s v="--PIZZE CREATIVE--"/>
        <s v="SERVIZIO"/>
        <s v="--RUM--" u="1"/>
        <s v="--VODKA--" u="1"/>
        <s v="--GRAPPE--" u="1"/>
        <s v="--SPUMANTI E PROSECCHI--" u="1"/>
        <s v="--EGO DRINKS--" u="1"/>
        <s v="--PIZZE DOLCI--" u="1"/>
        <s v="--WHISKEY--" u="1"/>
        <s v="--CLUB--" u="1"/>
        <s v="COPERTO" u="1"/>
        <s v="CAFFE" u="1"/>
        <s v="PASTA" u="1"/>
        <s v="GINSENG DOLCE" u="1"/>
        <s v="MIGNON" u="1"/>
        <s v="DONUT" u="1"/>
        <s v="CAPPUCCINO" u="1"/>
        <s v="LATTE MACCHIATO" u="1"/>
        <s v="CAFFE MACCHIATO CALDO" u="1"/>
        <s v="CAPPUCCINO DEK" u="1"/>
        <s v="ACQUA BICC GAS" u="1"/>
        <s v="ACQUA NAT 0,50" u="1"/>
        <s v="COCA COLA" u="1"/>
        <s v="SUCCO ANANAS" u="1"/>
        <s v="ACQUA BICC NAT" u="1"/>
        <s v="ACQUA GAS 0,50" u="1"/>
        <s v="ACQUA NAT 0,75" u="1"/>
        <s v="ACQUA GAS 0,75" u="1"/>
        <s v="SPREMUTA" u="1"/>
        <s v="THE PESCA" u="1"/>
        <s v="SPINA HEINEKEN 0,25" u="1"/>
        <s v="CALICE CENTO GEMME" u="1"/>
        <s v="KRESSIA BOTTIGLIA" u="1"/>
        <s v="CALICE KRESSIA" u="1"/>
        <s v="POLPO CON CREMA PATATE" u="1"/>
        <s v="REGINETTE PROFUMO MARE" u="1"/>
        <s v="PRIMO DEL GIORNO" u="1"/>
        <s v="SECONDO DEL GIORNO" u="1"/>
        <s v="TAGLIATA DI MANZO" u="1"/>
        <s v="BREAD AND PORK" u="1"/>
        <s v="COTOLETTA PANINO" u="1"/>
        <s v="DOLCE DELLA CASA" u="1"/>
        <s v="4 STAGIONI" u="1"/>
        <s v="MARGHERITA" u="1"/>
        <s v="--BRANDY--" u="1"/>
        <s v="--TEQUILA--" u="1"/>
      </sharedItems>
    </cacheField>
    <cacheField name="QUANTITA'" numFmtId="0">
      <sharedItems containsSemiMixedTypes="0" containsString="0" containsNumber="1" containsInteger="1" minValue="1" maxValue="90"/>
    </cacheField>
    <cacheField name="PREZZO UNITARIO" numFmtId="44">
      <sharedItems containsSemiMixedTypes="0" containsString="0" containsNumber="1" minValue="0" maxValue="26"/>
    </cacheField>
    <cacheField name="TOTALE" numFmtId="44">
      <sharedItems containsSemiMixedTypes="0" containsString="0" containsNumber="1" minValue="0" maxValue="260"/>
    </cacheField>
    <cacheField name="Prodotto_Report" numFmtId="0">
      <sharedItems count="387">
        <s v=""/>
        <s v="FISH"/>
        <s v="CAPPUCCINO"/>
        <s v="PASTA"/>
        <s v="CAFFE"/>
        <s v="CAFFE MACCHIATO CALDO"/>
        <s v="GINSENG DOLCE"/>
        <s v="CAFFE E LATTE"/>
        <s v="GINSENG AMARO"/>
        <s v="MIGNON"/>
        <s v="BISCOTTO FARCITO"/>
        <s v="CAFFE CORRETTO"/>
        <s v="ACQUA BICC GAS"/>
        <s v="ACQUA GAS 0,50"/>
        <s v="COCA COLA ZERO"/>
        <s v="SPREMUTA"/>
        <s v="ACQUA NAT 0,75"/>
        <s v="COCA COLA"/>
        <s v="FANTA"/>
        <s v="SPRITE"/>
        <s v="ACQUA BICC NAT"/>
        <s v="ACQUA NAT 0,50"/>
        <s v="COCKTAIL SANPELLEGRINO"/>
        <s v="SPRITZ APEROL"/>
        <s v="NEGRONI"/>
        <s v="CAMPARI SODA"/>
        <s v="SPINA HEINEKEN 0,25"/>
        <s v="HEINEKEN ANALCOLICA"/>
        <s v="SPINA BLANCHE 0,33"/>
        <s v="CARAFFA HEINEKEN 1L"/>
        <s v="SPINA HEINEKEN 0,50"/>
        <s v="LIMONCINO"/>
        <s v="BRANCA MENTA"/>
        <s v="MIRTO ROSSO"/>
        <s v="BAYLES"/>
        <s v="CYNAR"/>
        <s v="AMARO DEL CAPO"/>
        <s v="GIN MARE"/>
        <s v="SHOT"/>
        <s v="CALICE BLU"/>
        <s v="CALA REALE BOTTIGLIA"/>
        <s v="CALICE GEWURZTRAMINER"/>
        <s v="CALICE VINO BIANCO"/>
        <s v="CALICE KRESSIA"/>
        <s v="CALICE BOVALE"/>
        <s v="CALICE AKENTA ROSE"/>
        <s v="CALICE VINO ROSSO"/>
        <s v="TRAMEZZINO"/>
        <s v="MENU GASTRONOMIA"/>
        <s v="ANTIPASTO DEL GIORNO"/>
        <s v="POLPETTE ALLA CARBONARA"/>
        <s v="PRIMO DEL GIORNO CON ACQUA"/>
        <s v="RIGATONI ALLA CARBONARA"/>
        <s v="REGINETTE IMPERIALI"/>
        <s v="SECONDO DEL GIORNO CON ACQUA"/>
        <s v="SECONDO DEL GIORNO"/>
        <s v="COTOLETTA DI MAIALE"/>
        <s v="COSTATA DI SCOTTONA"/>
        <s v="TAGLIATA DI MANZO"/>
        <s v="HAMBURGER PANINO"/>
        <s v="BREAD AND PORK"/>
        <s v="PATATE FRITTE"/>
        <s v="INSALATA DELLA CASA"/>
        <s v="CAPRESE"/>
        <s v="COTOLETTA BABY"/>
        <s v="TIRAMISU"/>
        <s v="GELATO PRINCIPESSA"/>
        <s v="NAPOLI"/>
        <s v="ORTOLANA"/>
        <s v="MARGHERITA"/>
        <s v="RUSTICA"/>
        <s v="LATTE BIANCO" u="1"/>
        <s v="EGOCCINO" u="1"/>
        <s v="CAPPUCCINO GINSENG" u="1"/>
        <s v="THE CALDO" u="1"/>
        <s v="TISANA" u="1"/>
        <s v="CAFFE DEK" u="1"/>
        <s v="THE PESCA" u="1"/>
        <s v="ACQUA GAS 0,75" u="1"/>
        <s v="SUCCO ANANAS" u="1"/>
        <s v="SUCCO ACE" u="1"/>
        <s v="SUCCO PERA" u="1"/>
        <s v="THE LIMONE" u="1"/>
        <s v="CARDINALE" u="1"/>
        <s v="APEROL SODA" u="1"/>
        <s v="APERITIVO CASA ANALCOLICO" u="1"/>
        <s v="SPRITZ CAMPARI" u="1"/>
        <s v="SPINA BLANCHE 0,50" u="1"/>
        <s v="SPINA ICH CRUDA 0,20" u="1"/>
        <s v="SPINA LAGUNITAS 0,40" u="1"/>
        <s v="HEINEKEN ALLUMINIO" u="1"/>
        <s v="SPINA ICH CRUDA 0,50" u="1"/>
        <s v="CARAFFA HEINEKEN 1,5L" u="1"/>
        <s v="MENABREA BIONDA" u="1"/>
        <s v="MONTENEGRO" u="1"/>
        <s v="LIQUIRIZIA" u="1"/>
        <s v="AMARO" u="1"/>
        <s v="ZACAPA CENT. 23" u="1"/>
        <s v="TANQUERAY" u="1"/>
        <s v="TANQUERAY 0.0" u="1"/>
        <s v="TANQUERAY TEN" u="1"/>
        <s v="HENDRICK'S" u="1"/>
        <s v="TANQUERAY SEVILLA" u="1"/>
        <s v="BELVEDERE" u="1"/>
        <s v="GRAPPA BIANCA" u="1"/>
        <s v="GIN TONIC" u="1"/>
        <s v="COCKTAIL ANALCOLICO" u="1"/>
        <s v="GIN TONIC MARE" u="1"/>
        <s v="GIN LEMON" u="1"/>
        <s v="VODKA RED BULL" u="1"/>
        <s v="RUM E COLA" u="1"/>
        <s v="CALICE CHLAMYS" u="1"/>
        <s v="CALICE CALA REALE" u="1"/>
        <s v="CALICE CENTO GEMME" u="1"/>
        <s v="CALICE BRANU" u="1"/>
        <s v="CALICE TANCA FARRA" u="1"/>
        <s v="CALICE MEDEUS" u="1"/>
        <s v="NEPENTE BOTTIGLIA" u="1"/>
        <s v="CALICE PROSECCO" u="1"/>
        <s v="AKENTA BOTTIGLIA" u="1"/>
        <s v="TOAST" u="1"/>
        <s v="AMERICAN EGO" u="1"/>
        <s v="REGINETTE PROFUMO MARE" u="1"/>
        <s v="PACCHERO ALLA CARBONARA" u="1"/>
        <s v="TAGLIATELLA VONGOLE E BOTTARGA" u="1"/>
        <s v="TAGLIATELLA VEGANA" u="1"/>
        <s v="PROPOSTA DELLO CHEF" u="1"/>
        <s v="FETTINA CAVALLO BRACE" u="1"/>
        <s v="HAMBURGER SCOTTONA BRACE" u="1"/>
        <s v="STINCO DI MAIALE" u="1"/>
        <s v="RIBS DI MAIALE IN SALSA BBQ" u="1"/>
        <s v="FRITTURA MISTA MARE" u="1"/>
        <s v="CAVALLO PANINO" u="1"/>
        <s v="COTOLETTA PANINO" u="1"/>
        <s v="CEASAR SALAD" u="1"/>
        <s v="REGINETTE AL POMODORO" u="1"/>
        <s v="RED VELVET" u="1"/>
        <s v="CROSTATA NUTELLA DI PISTACCHIO" u="1"/>
        <s v="DOLCE DELLA CASA" u="1"/>
        <s v="GELATO PANDA" u="1"/>
        <s v="CHEESECAKE CARAMELLO SALATO" u="1"/>
        <s v="CHEESCAKE" u="1"/>
        <s v="TORTINO TARTUFO NERO" u="1"/>
        <s v="SORBETTO" u="1"/>
        <s v="PIZZA DEL GIORNO" u="1"/>
        <s v="SALSICCIA E FRIARIELLI" u="1"/>
        <s v="PANE PIZZA" u="1"/>
        <s v="4 STAGIONI" u="1"/>
        <s v="MARINARA" u="1"/>
        <s v="CAPRICCIOSA" u="1"/>
        <s v="TEDESCA" u="1"/>
        <s v="PARMIGIANA" u="1"/>
        <s v="CARBONARA" u="1"/>
        <s v="BUFALINA" u="1"/>
        <s v="PROSCIUTTO E FUNGHI" u="1"/>
        <s v="BOMBETTA" u="1"/>
        <s v="GUSTO SARDO" u="1"/>
        <s v="MONTANARA" u="1"/>
        <s v="PORCHETTA" u="1"/>
        <s v="PIZZA SEADAS" u="1"/>
        <s v="CIOCCOLATA" u="1"/>
        <s v="MAROCCHINO" u="1"/>
        <s v="1/2 GASATA" u="1"/>
        <s v="RED BULL" u="1"/>
        <s v="SUCCO ACE ROSSO" u="1"/>
        <s v="TONICA" u="1"/>
        <s v="APERITIVO CASA ALCOLICO" u="1"/>
        <s v="BAM BLONDE" u="1"/>
        <s v="ECLISSE" u="1"/>
        <s v="JAGERMEISTER" u="1"/>
        <s v="BALLANTINE" u="1"/>
        <s v="JACK DANIELS" u="1"/>
        <s v="BOULEVARDIER" u="1"/>
        <s v="COCKTAIL ALCOLICO" u="1"/>
        <s v="CALICE MIRALL" u="1"/>
        <s v="BOTTIGLIA VINO BIANCO" u="1"/>
        <s v="CALICE ANEMONE" u="1"/>
        <s v="CALICE OSCARI" u="1"/>
        <s v="FOCACCIA" u="1"/>
        <s v="PAPA S FLAME" u="1"/>
        <s v="DRINK" u="1"/>
        <s v="POLENTA PORCINI E SALSICCIA" u="1"/>
        <s v="POLENTA GORGONZOLA E SPINACI" u="1"/>
        <s v="PATATE ARROSTO" u="1"/>
        <s v="VERDURE DI STAGIONE" u="1"/>
        <s v="CHEESCAKE CHEF" u="1"/>
        <s v="CREMA CATALANA" u="1"/>
        <s v="RIO MARE" u="1"/>
        <s v="4 FORMAGGI" u="1"/>
        <s v="CAMPIDANESE" u="1"/>
        <s v="MARE NOSTRUM" u="1"/>
        <s v="MORTADELLA E BURRATA" u="1"/>
        <s v="CAFFE AMERICANO" u="1"/>
        <s v="1/2 NATURALE" u="1"/>
        <s v="LATTE MACCHIATO" u="1"/>
        <s v="GINSENG AMARO GRANDE" u="1"/>
        <s v="CAFFE SHAKERATO" u="1"/>
        <s v="GINGER BEER" u="1"/>
        <s v="CRODINO" u="1"/>
        <s v="SAMBUCA" u="1"/>
        <s v="KRAKEN" u="1"/>
        <s v="SEX ON THE BEACH" u="1"/>
        <s v="KRESSIA BOTTIGLIA" u="1"/>
        <s v="POP STAR" u="1"/>
        <s v="DRIFT PASSION" u="1"/>
        <s v="COSMO EGO" u="1"/>
        <s v="SEVILLA MULE" u="1"/>
        <s v="LIGHT EGO" u="1"/>
        <s v="POLPO CON CREMA PATATE" u="1"/>
        <s v="KORN DOG" u="1"/>
        <s v="MUFFIN" u="1"/>
        <s v="CAFFE DOPPIO" u="1"/>
        <s v="CIOCCOLATA BIANCA CON NOCCIOLE" u="1"/>
        <s v="SANBITTER" u="1"/>
        <s v="CARAFFA ICH CRUDA 1,5L" u="1"/>
        <s v="GRAPPA BARRICATA" u="1"/>
        <s v="GREEN ZERO" u="1"/>
        <s v="REGINETTE IN BIANCO" u="1"/>
        <s v="DONUT" u="1"/>
        <s v="LASAGNA" u="1"/>
        <s v="TORTA DELLA NONNA" u="1"/>
        <s v="EGO" u="1"/>
        <s v="CAPPUCCINO DEK" u="1"/>
        <s v="BLODYMARY" u="1"/>
        <s v="CALICE CAGNULARI SMP" u="1"/>
        <s v="CALICE AKENTA" u="1"/>
        <s v="PRIMO DEL GIORNO" u="1"/>
        <s v="SACHER" u="1"/>
        <s v="NUTELLINA" u="1"/>
        <s v="--CLIENTE--" u="1"/>
        <s v="--CAFFETTERIA--" u="1"/>
        <s v="--BIBITE--" u="1"/>
        <s v="--BIRRE--" u="1"/>
        <s v="--VINI BIANCHI--" u="1"/>
        <s v="--VINI ROSSI E ROSATI--" u="1"/>
        <s v="--ANTIPASTI--" u="1"/>
        <s v="--PRIMI--" u="1"/>
        <s v="--SECONDI--" u="1"/>
        <s v="--BURGER MENU--" u="1"/>
        <s v="--DOLCI--" u="1"/>
        <s v="--PIZZE CLASSICHE--" u="1"/>
        <s v="AVERNA" u="1"/>
        <s v="PAO GIN" u="1"/>
        <s v="LIMONATA" u="1"/>
        <s v="SPRITZ HUGO" u="1"/>
        <s v="MENABREA ROSSA" u="1"/>
        <s v="BALADIN ISAAC" u="1"/>
        <s v="AMARETTO DISARONNO" u="1"/>
        <s v="LAGAVULLIN" u="1"/>
        <s v="MACALLAN" u="1"/>
        <s v="FILU E FERRU" u="1"/>
        <s v="OLD FASHIONED" u="1"/>
        <s v="MENU FISSO" u="1"/>
        <s v="CAMOMILLA" u="1"/>
        <s v="CIOCCOLATA FONDENTE" u="1"/>
        <s v="PERONI SENZA GLUTINE" u="1"/>
        <s v="CALICE BURANTI' ROSATO" u="1"/>
        <s v="TIRAMISU FRAGOLE" u="1"/>
        <s v="PARMA" u="1"/>
        <s v="MERAVIGLIOSA" u="1"/>
        <s v="SCHWEPPES" u="1"/>
        <s v="ABUELO 12 YO" u="1"/>
        <s v="BOVALE BOTTIGLIA" u="1"/>
        <s v="PASTA IN BIANCO" u="1"/>
        <s v="CONTORNO DEL GIORNO" u="1"/>
        <s v="CHESSECAKE" u="1"/>
        <s v="SCHIUMETTA DI LATTE" u="1"/>
        <s v="SUCCO PESCA" u="1"/>
        <s v="SPRITZ SELECT" u="1"/>
        <s v="MARTINI BIANCO" u="1"/>
        <s v="AMERICANO" u="1"/>
        <s v="MARTINI DRY" u="1"/>
        <s v="BALADIN SUPER" u="1"/>
        <s v="BALADIN L IPA" u="1"/>
        <s v="DON PAPA BAROKO" u="1"/>
        <s v="HAVANA ANEJO 7YO" u="1"/>
        <s v="MALFY ROSA" u="1"/>
        <s v="WODKA MENTA" u="1"/>
        <s v="GLENFIDDICH 15" u="1"/>
        <s v="BARRIQUE MAMUTHONE" u="1"/>
        <s v="MARGARITA" u="1"/>
        <s v="MOJITO" u="1"/>
        <s v="PINA COLADA" u="1"/>
        <s v="GIN FIZZ" u="1"/>
        <s v="NEGRONI SBAGLIATO" u="1"/>
        <s v="MOSCOW MULE" u="1"/>
        <s v="CUBA LIBRE" u="1"/>
        <s v="VODKA PESCA RED BULL" u="1"/>
        <s v="BOTTIGLIA CHLAMYS" u="1"/>
        <s v="CALICE RECONTA" u="1"/>
        <s v="BOTT RECONTA" u="1"/>
        <s v="BOTTIGLIA VINO ROSSO" u="1"/>
        <s v="TAPAS" u="1"/>
        <s v="SALAMELLE FRIARIELLI CIPOLL" u="1"/>
        <s v="CAFFE MACCHIATO FREDDO" u="1"/>
        <s v="CAFFE LUNGO" u="1"/>
        <s v="PASTA SENZA GLUTINE" u="1"/>
        <s v="CAIPIROSKA FRUTTA" u="1"/>
        <s v="CIPOLLA AGRODOLCE" u="1"/>
        <s v="HAMBURGER BABY" u="1"/>
        <s v="CREMA CAFFE" u="1"/>
        <s v="CIOCCOLATA CON PANNA" u="1"/>
        <s v="GINSENG MACCHIATO" u="1"/>
        <s v="CAFFE RISTRETTO" u="1"/>
        <s v="MACCHIATONE" u="1"/>
        <s v="CAPPUCCINO SOIA" u="1"/>
        <s v="CIOCCOLATA GIANDUIA" u="1"/>
        <s v="CIOCCOLATA BIANCA" u="1"/>
        <s v="GINSENG DOLCE GRANDE" u="1"/>
        <s v="BISCOTTO MIGNON" u="1"/>
        <s v="FROLLINO" u="1"/>
        <s v="ARANCIATA AMARA" u="1"/>
        <s v="GINGER ALE" u="1"/>
        <s v="SUCCO MIRTILLO" u="1"/>
        <s v="CEDRATA TASSONI" u="1"/>
        <s v="THE VERDE" u="1"/>
        <s v="SUCCO BANANA" u="1"/>
        <s v="CHINOTTO" u="1"/>
        <s v="BITTER CAMPARI" u="1"/>
        <s v="BALADIN NAZIONALE" u="1"/>
        <s v="BIRRA DEL BORGO" u="1"/>
        <s v="MENABREA WEISS" u="1"/>
        <s v="CARAFFA ICH CRUDA 1L" u="1"/>
        <s v="SPINA GUINESS 0,25" u="1"/>
        <s v="ICHNUSA N.F. 0,50" u="1"/>
        <s v="CARAFFA BLANCHE 1L" u="1"/>
        <s v="CORONA" u="1"/>
        <s v="UNICUM" u="1"/>
        <s v="CREMA DI WHISKEY" u="1"/>
        <s v="FERNET BRANCA" u="1"/>
        <s v="CHINA MARTINI" u="1"/>
        <s v="CREMA DI LIMONCELLO" u="1"/>
        <s v="RAMAZZOTTI" u="1"/>
        <s v="MIRTO BIANCO" u="1"/>
        <s v="LUCANO" u="1"/>
        <s v="BRAULIO" u="1"/>
        <s v="MIDORI" u="1"/>
        <s v="VECCHIA ROMAGNA" u="1"/>
        <s v="DIPLOMATICO RISERVA" u="1"/>
        <s v="ZACAPA XO" u="1"/>
        <s v="HAVANA ANEJO 3YO" u="1"/>
        <s v="TANQUERAY RANGPUR" u="1"/>
        <s v="MALFY CLASSIC" u="1"/>
        <s v="SAUZA" u="1"/>
        <s v="LAPHROAIG" u="1"/>
        <s v="GLENLIVET" u="1"/>
        <s v="RUM COOLER" u="1"/>
        <s v="WHITE RUSSIAN" u="1"/>
        <s v="VODKA SOUR" u="1"/>
        <s v="GIN TONIC HENDRICK'S" u="1"/>
        <s v="VODKA FRAGOLA RED BULL" u="1"/>
        <s v="BOTTIGLIA CENTO GEMME" u="1"/>
        <s v="BOTTIGLIA BRANU" u="1"/>
        <s v="BOTTIGLIA MIRALL" u="1"/>
        <s v="TANCA FARRA BOTTIGLIA" u="1"/>
        <s v="MEDEUS BOTTIGLIA" u="1"/>
        <s v="SARTIGLIA BOTTIGLIA" u="1"/>
        <s v="BOTTIGLIA BOVALE" u="1"/>
        <s v="CALICE SARTIGLIA" u="1"/>
        <s v="BOTTIGLIA BURANTI'" u="1"/>
        <s v="OSCARI BOTTIGLIA" u="1"/>
        <s v="BOTTIGLIA PROSECCO" u="1"/>
        <s v="PANCAKE" u="1"/>
        <s v="NEGRONI 2.0" u="1"/>
        <s v="SAMEDI S SECRET" u="1"/>
        <s v="ELITE" u="1"/>
        <s v="BEE HAPPY" u="1"/>
        <s v="BIRRA" u="1"/>
        <s v="BIBITE" u="1"/>
        <s v="VINO" u="1"/>
        <s v="ACQUA NAT" u="1"/>
        <s v="ACQUA GAS" u="1"/>
        <s v="APERITIVO" u="1"/>
        <s v="PREMIUM" u="1"/>
        <s v="BOTTIGLIA PREMIUM" u="1"/>
        <s v="BOTTIGLIA BASE" u="1"/>
        <s v="POLENTA DEL GIORNO" u="1"/>
        <s v="GNOCCHETTI AL SUGO" u="1"/>
        <s v="HAMBURGER MENU" u="1"/>
        <s v="COTOLETTA MENU" u="1"/>
        <s v="HORSE DRIVING" u="1"/>
        <s v="HAMURGER BABY + PATATE FRITTE" u="1"/>
        <s v="INSALATA MISTA" u="1"/>
        <s v="INSALATA DI POMODORI" u="1"/>
        <s v="MUFFIN ALBICOCCA" u="1"/>
        <s v="MUFFIN CIOCCOLATO" u="1"/>
        <s v="DIAVOLA" u="1"/>
      </sharedItems>
    </cacheField>
    <cacheField name="Categoria_Report" numFmtId="0">
      <sharedItems count="66">
        <s v=""/>
        <s v="--CLIENTE--"/>
        <s v="--CAFFETTERIA--"/>
        <s v="--BIBITE--"/>
        <s v="--APERITIVI--"/>
        <s v="--BIRRE--"/>
        <s v="--AMARI E LIQUORI--"/>
        <s v="--GIN--"/>
        <s v="--COCKTAIL--"/>
        <s v="--VINI BIANCHI--"/>
        <s v="--VINI ROSSI E ROSATI--"/>
        <s v="--SNACK E MERENDA--"/>
        <s v="--ANTIPASTI--"/>
        <s v="--PRIMI--"/>
        <s v="--SECONDI--"/>
        <s v="--BURGER MENU--"/>
        <s v="--CONTORNI--"/>
        <s v="--INSALATE--"/>
        <s v="--BABY--"/>
        <s v="--DOLCI--"/>
        <s v="--PIZZE CLASSICHE--"/>
        <s v="--PIZZE CREATIVE--"/>
        <s v="--RUM--" u="1"/>
        <s v="--VODKA--" u="1"/>
        <s v="--GRAPPE--" u="1"/>
        <s v="--SPUMANTI E PROSECCHI--" u="1"/>
        <s v="--EGO DRINKS--" u="1"/>
        <s v="--PIZZE DOLCI--" u="1"/>
        <s v="--WHISKEY--" u="1"/>
        <s v="--CLUB--" u="1"/>
        <s v="COPERTO" u="1"/>
        <s v="CAFFE" u="1"/>
        <s v="PASTA" u="1"/>
        <s v="GINSENG DOLCE" u="1"/>
        <s v="MIGNON" u="1"/>
        <s v="DONUT" u="1"/>
        <s v="CAPPUCCINO" u="1"/>
        <s v="LATTE MACCHIATO" u="1"/>
        <s v="CAFFE MACCHIATO CALDO" u="1"/>
        <s v="CAPPUCCINO DEK" u="1"/>
        <s v="ACQUA BICC GAS" u="1"/>
        <s v="ACQUA NAT 0,50" u="1"/>
        <s v="COCA COLA" u="1"/>
        <s v="SUCCO ANANAS" u="1"/>
        <s v="ACQUA BICC NAT" u="1"/>
        <s v="ACQUA GAS 0,50" u="1"/>
        <s v="ACQUA NAT 0,75" u="1"/>
        <s v="ACQUA GAS 0,75" u="1"/>
        <s v="SPREMUTA" u="1"/>
        <s v="THE PESCA" u="1"/>
        <s v="SPINA HEINEKEN 0,25" u="1"/>
        <s v="CALICE CENTO GEMME" u="1"/>
        <s v="KRESSIA BOTTIGLIA" u="1"/>
        <s v="CALICE KRESSIA" u="1"/>
        <s v="POLPO CON CREMA PATATE" u="1"/>
        <s v="REGINETTE PROFUMO MARE" u="1"/>
        <s v="PRIMO DEL GIORNO" u="1"/>
        <s v="SECONDO DEL GIORNO" u="1"/>
        <s v="TAGLIATA DI MANZO" u="1"/>
        <s v="BREAD AND PORK" u="1"/>
        <s v="COTOLETTA PANINO" u="1"/>
        <s v="DOLCE DELLA CASA" u="1"/>
        <s v="4 STAGIONI" u="1"/>
        <s v="MARGHERITA" u="1"/>
        <s v="--BRANDY--" u="1"/>
        <s v="--TEQUILA--" u="1"/>
      </sharedItems>
    </cacheField>
    <cacheField name="TOT. IMP." numFmtId="44">
      <sharedItems containsSemiMixedTypes="0" containsString="0" containsNumber="1" minValue="0" maxValue="236.36363636363635"/>
    </cacheField>
    <cacheField name="PERCENTUALE" numFmtId="10">
      <sharedItems containsSemiMixedTypes="0" containsString="0" containsNumber="1" minValue="0" maxValue="0.1499786568834435"/>
    </cacheField>
    <cacheField name="COSTO UNITARIO" numFmtId="44">
      <sharedItems containsSemiMixedTypes="0" containsString="0" containsNumber="1" minValue="0" maxValue="15.318181818181815"/>
    </cacheField>
    <cacheField name="COSTO TOTALE" numFmtId="44">
      <sharedItems containsSemiMixedTypes="0" containsString="0" containsNumber="1" minValue="0" maxValue="81"/>
    </cacheField>
    <cacheField name="MARGINE" numFmtId="44">
      <sharedItems containsSemiMixedTypes="0" containsString="0" containsNumber="1" minValue="0" maxValue="124.77272727272725"/>
    </cacheField>
    <cacheField name="% MARGINE" numFmtId="9">
      <sharedItems containsSemiMixedTypes="0" containsString="0" containsNumber="1" minValue="0" maxValue="0.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6077.399408101854" createdVersion="8" refreshedVersion="8" minRefreshableVersion="3" recordCount="72" xr:uid="{7D2491DF-0389-4A41-B8DF-8F6106289718}">
  <cacheSource type="worksheet">
    <worksheetSource name="Chiusura"/>
  </cacheSource>
  <cacheFields count="14">
    <cacheField name="PRODOTTO" numFmtId="0">
      <sharedItems/>
    </cacheField>
    <cacheField name="COD. PROD." numFmtId="0">
      <sharedItems containsMixedTypes="1" containsNumber="1" containsInteger="1" minValue="51" maxValue="12660"/>
    </cacheField>
    <cacheField name="CATEGORIA" numFmtId="0">
      <sharedItems count="66">
        <s v="--CLIENTE--"/>
        <s v="--CAFFETTERIA--"/>
        <s v="--BIBITE--"/>
        <s v="--APERITIVI--"/>
        <s v="--BIRRE--"/>
        <s v="--AMARI E LIQUORI--"/>
        <s v="--GIN--"/>
        <s v="--COCKTAIL--"/>
        <s v="--VINI BIANCHI--"/>
        <s v="--VINI ROSSI E ROSATI--"/>
        <s v="--SNACK E MERENDA--"/>
        <s v="--ANTIPASTI--"/>
        <s v="--PRIMI--"/>
        <s v="--SECONDI--"/>
        <s v="--BURGER MENU--"/>
        <s v="--CONTORNI--"/>
        <s v="--INSALATE--"/>
        <s v="--BABY--"/>
        <s v="--DOLCI--"/>
        <s v="--PIZZE CLASSICHE--"/>
        <s v="--PIZZE CREATIVE--"/>
        <s v="SERVIZIO"/>
        <s v="--RUM--" u="1"/>
        <s v="--VODKA--" u="1"/>
        <s v="--GRAPPE--" u="1"/>
        <s v="--SPUMANTI E PROSECCHI--" u="1"/>
        <s v="--EGO DRINKS--" u="1"/>
        <s v="--PIZZE DOLCI--" u="1"/>
        <s v="--WHISKEY--" u="1"/>
        <s v="--CLUB--" u="1"/>
        <s v="COPERTO" u="1"/>
        <s v="CAFFE" u="1"/>
        <s v="PASTA" u="1"/>
        <s v="GINSENG DOLCE" u="1"/>
        <s v="MIGNON" u="1"/>
        <s v="DONUT" u="1"/>
        <s v="CAPPUCCINO" u="1"/>
        <s v="LATTE MACCHIATO" u="1"/>
        <s v="CAFFE MACCHIATO CALDO" u="1"/>
        <s v="CAPPUCCINO DEK" u="1"/>
        <s v="ACQUA BICC GAS" u="1"/>
        <s v="ACQUA NAT 0,50" u="1"/>
        <s v="COCA COLA" u="1"/>
        <s v="SUCCO ANANAS" u="1"/>
        <s v="ACQUA BICC NAT" u="1"/>
        <s v="ACQUA GAS 0,50" u="1"/>
        <s v="ACQUA NAT 0,75" u="1"/>
        <s v="ACQUA GAS 0,75" u="1"/>
        <s v="SPREMUTA" u="1"/>
        <s v="THE PESCA" u="1"/>
        <s v="SPINA HEINEKEN 0,25" u="1"/>
        <s v="CALICE CENTO GEMME" u="1"/>
        <s v="KRESSIA BOTTIGLIA" u="1"/>
        <s v="CALICE KRESSIA" u="1"/>
        <s v="POLPO CON CREMA PATATE" u="1"/>
        <s v="REGINETTE PROFUMO MARE" u="1"/>
        <s v="PRIMO DEL GIORNO" u="1"/>
        <s v="SECONDO DEL GIORNO" u="1"/>
        <s v="TAGLIATA DI MANZO" u="1"/>
        <s v="BREAD AND PORK" u="1"/>
        <s v="COTOLETTA PANINO" u="1"/>
        <s v="DOLCE DELLA CASA" u="1"/>
        <s v="4 STAGIONI" u="1"/>
        <s v="MARGHERITA" u="1"/>
        <s v="--BRANDY--" u="1"/>
        <s v="--TEQUILA--" u="1"/>
      </sharedItems>
    </cacheField>
    <cacheField name="QUANTITA'" numFmtId="0">
      <sharedItems containsSemiMixedTypes="0" containsString="0" containsNumber="1" containsInteger="1" minValue="1" maxValue="90"/>
    </cacheField>
    <cacheField name="PREZZO UNITARIO" numFmtId="44">
      <sharedItems containsSemiMixedTypes="0" containsString="0" containsNumber="1" minValue="0" maxValue="26"/>
    </cacheField>
    <cacheField name="TOTALE" numFmtId="44">
      <sharedItems containsSemiMixedTypes="0" containsString="0" containsNumber="1" minValue="0" maxValue="260"/>
    </cacheField>
    <cacheField name="Prodotto_Report" numFmtId="0">
      <sharedItems count="390">
        <s v=""/>
        <s v="FISH"/>
        <s v="CAPPUCCINO"/>
        <s v="PASTA"/>
        <s v="CAFFE"/>
        <s v="CAFFE MACCHIATO CALDO"/>
        <s v="GINSENG DOLCE"/>
        <s v="CAFFE E LATTE"/>
        <s v="GINSENG AMARO"/>
        <s v="MIGNON"/>
        <s v="BISCOTTO FARCITO"/>
        <s v="CAFFE CORRETTO"/>
        <s v="ACQUA BICC GAS"/>
        <s v="ACQUA GAS 0,50"/>
        <s v="COCA COLA ZERO"/>
        <s v="SPREMUTA"/>
        <s v="ACQUA NAT 0,75"/>
        <s v="COCA COLA"/>
        <s v="FANTA"/>
        <s v="SPRITE"/>
        <s v="ACQUA BICC NAT"/>
        <s v="ACQUA NAT 0,50"/>
        <s v="COCKTAIL SANPELLEGRINO"/>
        <s v="SPRITZ APEROL"/>
        <s v="NEGRONI"/>
        <s v="CAMPARI SODA"/>
        <s v="SPINA HEINEKEN 0,25"/>
        <s v="HEINEKEN ANALCOLICA"/>
        <s v="SPINA BLANCHE 0,33"/>
        <s v="CARAFFA HEINEKEN 1L"/>
        <s v="SPINA HEINEKEN 0,50"/>
        <s v="LIMONCINO"/>
        <s v="BRANCA MENTA"/>
        <s v="MIRTO ROSSO"/>
        <s v="BAYLES"/>
        <s v="CYNAR"/>
        <s v="AMARO DEL CAPO"/>
        <s v="GIN MARE"/>
        <s v="SHOT"/>
        <s v="CALICE BLU"/>
        <s v="CALA REALE BOTTIGLIA"/>
        <s v="CALICE GEWURZTRAMINER"/>
        <s v="CALICE VINO BIANCO"/>
        <s v="CALICE KRESSIA"/>
        <s v="CALICE BOVALE"/>
        <s v="CALICE AKENTA ROSE"/>
        <s v="CALICE VINO ROSSO"/>
        <s v="TRAMEZZINO"/>
        <s v="MENU GASTRONOMIA"/>
        <s v="ANTIPASTO DEL GIORNO"/>
        <s v="POLPETTE ALLA CARBONARA"/>
        <s v="PRIMO DEL GIORNO CON ACQUA"/>
        <s v="RIGATONI ALLA CARBONARA"/>
        <s v="REGINETTE IMPERIALI"/>
        <s v="SECONDO DEL GIORNO CON ACQUA"/>
        <s v="SECONDO DEL GIORNO"/>
        <s v="COTOLETTA DI MAIALE"/>
        <s v="COSTATA DI SCOTTONA"/>
        <s v="TAGLIATA DI MANZO"/>
        <s v="HAMBURGER PANINO"/>
        <s v="BREAD AND PORK"/>
        <s v="PATATE FRITTE"/>
        <s v="INSALATA DELLA CASA"/>
        <s v="CAPRESE"/>
        <s v="COTOLETTA BABY"/>
        <s v="TIRAMISU"/>
        <s v="GELATO PRINCIPESSA"/>
        <s v="NAPOLI"/>
        <s v="ORTOLANA"/>
        <s v="MARGHERITA"/>
        <s v="RUSTICA"/>
        <s v="LATTE BIANCO" u="1"/>
        <s v="EGOCCINO" u="1"/>
        <s v="CAPPUCCINO GINSENG" u="1"/>
        <s v="THE CALDO" u="1"/>
        <s v="TISANA" u="1"/>
        <s v="CAFFE DEK" u="1"/>
        <s v="THE PESCA" u="1"/>
        <s v="ACQUA GAS 0,75" u="1"/>
        <s v="SUCCO ANANAS" u="1"/>
        <s v="SUCCO ACE" u="1"/>
        <s v="SUCCO PERA" u="1"/>
        <s v="THE LIMONE" u="1"/>
        <s v="CARDINALE" u="1"/>
        <s v="APEROL SODA" u="1"/>
        <s v="APERITIVO CASA ANALCOLICO" u="1"/>
        <s v="SPRITZ CAMPARI" u="1"/>
        <s v="SPINA BLANCHE 0,50" u="1"/>
        <s v="SPINA ICH CRUDA 0,20" u="1"/>
        <s v="SPINA LAGUNITAS 0,40" u="1"/>
        <s v="HEINEKEN ALLUMINIO" u="1"/>
        <s v="SPINA ICH CRUDA 0,50" u="1"/>
        <s v="CARAFFA HEINEKEN 1,5L" u="1"/>
        <s v="MENABREA BIONDA" u="1"/>
        <s v="MONTENEGRO" u="1"/>
        <s v="LIQUIRIZIA" u="1"/>
        <s v="AMARO" u="1"/>
        <s v="ZACAPA CENT. 23" u="1"/>
        <s v="TANQUERAY" u="1"/>
        <s v="TANQUERAY 0.0" u="1"/>
        <s v="TANQUERAY TEN" u="1"/>
        <s v="HENDRICK'S" u="1"/>
        <s v="TANQUERAY SEVILLA" u="1"/>
        <s v="BELVEDERE" u="1"/>
        <s v="GRAPPA BIANCA" u="1"/>
        <s v="GIN TONIC" u="1"/>
        <s v="COCKTAIL ANALCOLICO" u="1"/>
        <s v="GIN TONIC MARE" u="1"/>
        <s v="GIN LEMON" u="1"/>
        <s v="VODKA RED BULL" u="1"/>
        <s v="RUM E COLA" u="1"/>
        <s v="CALICE CHLAMYS" u="1"/>
        <s v="CALICE CALA REALE" u="1"/>
        <s v="CALICE CENTO GEMME" u="1"/>
        <s v="CALICE BRANU" u="1"/>
        <s v="CALICE TANCA FARRA" u="1"/>
        <s v="CALICE MEDEUS" u="1"/>
        <s v="NEPENTE BOTTIGLIA" u="1"/>
        <s v="CALICE PROSECCO" u="1"/>
        <s v="AKENTA BOTTIGLIA" u="1"/>
        <s v="TOAST" u="1"/>
        <s v="AMERICAN EGO" u="1"/>
        <s v="REGINETTE PROFUMO MARE" u="1"/>
        <s v="PACCHERO ALLA CARBONARA" u="1"/>
        <s v="TAGLIATELLA VONGOLE E BOTTARGA" u="1"/>
        <s v="TAGLIATELLA VEGANA" u="1"/>
        <s v="PROPOSTA DELLO CHEF" u="1"/>
        <s v="FETTINA CAVALLO BRACE" u="1"/>
        <s v="HAMBURGER SCOTTONA BRACE" u="1"/>
        <s v="STINCO DI MAIALE" u="1"/>
        <s v="RIBS DI MAIALE IN SALSA BBQ" u="1"/>
        <s v="FRITTURA MISTA MARE" u="1"/>
        <s v="CAVALLO PANINO" u="1"/>
        <s v="COTOLETTA PANINO" u="1"/>
        <s v="CEASAR SALAD" u="1"/>
        <s v="REGINETTE AL POMODORO" u="1"/>
        <s v="RED VELVET" u="1"/>
        <s v="CROSTATA NUTELLA DI PISTACCHIO" u="1"/>
        <s v="DOLCE DELLA CASA" u="1"/>
        <s v="GELATO PANDA" u="1"/>
        <s v="CHEESECAKE CARAMELLO SALATO" u="1"/>
        <s v="CHEESCAKE" u="1"/>
        <s v="TORTINO TARTUFO NERO" u="1"/>
        <s v="SORBETTO" u="1"/>
        <s v="PIZZA DEL GIORNO" u="1"/>
        <s v="SALSICCIA E FRIARIELLI" u="1"/>
        <s v="PANE PIZZA" u="1"/>
        <s v="4 STAGIONI" u="1"/>
        <s v="MARINARA" u="1"/>
        <s v="CAPRICCIOSA" u="1"/>
        <s v="TEDESCA" u="1"/>
        <s v="PARMIGIANA" u="1"/>
        <s v="CARBONARA" u="1"/>
        <s v="BUFALINA" u="1"/>
        <s v="PROSCIUTTO E FUNGHI" u="1"/>
        <s v="BOMBETTA" u="1"/>
        <s v="GUSTO SARDO" u="1"/>
        <s v="MONTANARA" u="1"/>
        <s v="PORCHETTA" u="1"/>
        <s v="PIZZA SEADAS" u="1"/>
        <s v="MUFFIN" u="1"/>
        <s v="LATTE MACCHIATO" u="1"/>
        <s v="DONUT" u="1"/>
        <s v="SUCCO MELA" u="1"/>
        <s v="CRODINO" u="1"/>
        <s v="SPRITZ HUGO" u="1"/>
        <s v="AMERICANO" u="1"/>
        <s v="ICHNUSA N.F. 0,50" u="1"/>
        <s v="KINOBI" u="1"/>
        <s v="MARGARITA" u="1"/>
        <s v="CALICE OSCARI" u="1"/>
        <s v="ELITE" u="1"/>
        <s v="LIGHT EGO" u="1"/>
        <s v="COSMO EGO" u="1"/>
        <s v="POLPO CON CREMA PATATE" u="1"/>
        <s v="BURGER MENU GIORNO" u="1"/>
        <s v="CIOCCOLATA" u="1"/>
        <s v="MAROCCHINO" u="1"/>
        <s v="1/2 GASATA" u="1"/>
        <s v="RED BULL" u="1"/>
        <s v="SUCCO ACE ROSSO" u="1"/>
        <s v="TONICA" u="1"/>
        <s v="APERITIVO CASA ALCOLICO" u="1"/>
        <s v="BAM BLONDE" u="1"/>
        <s v="ECLISSE" u="1"/>
        <s v="JAGERMEISTER" u="1"/>
        <s v="BALLANTINE" u="1"/>
        <s v="JACK DANIELS" u="1"/>
        <s v="BOULEVARDIER" u="1"/>
        <s v="COCKTAIL ALCOLICO" u="1"/>
        <s v="CALICE MIRALL" u="1"/>
        <s v="BOTTIGLIA VINO BIANCO" u="1"/>
        <s v="CALICE ANEMONE" u="1"/>
        <s v="FOCACCIA" u="1"/>
        <s v="PAPA S FLAME" u="1"/>
        <s v="DRINK" u="1"/>
        <s v="POLENTA PORCINI E SALSICCIA" u="1"/>
        <s v="POLENTA GORGONZOLA E SPINACI" u="1"/>
        <s v="PATATE ARROSTO" u="1"/>
        <s v="VERDURE DI STAGIONE" u="1"/>
        <s v="CHEESCAKE CHEF" u="1"/>
        <s v="CREMA CATALANA" u="1"/>
        <s v="RIO MARE" u="1"/>
        <s v="4 FORMAGGI" u="1"/>
        <s v="CAMPIDANESE" u="1"/>
        <s v="MARE NOSTRUM" u="1"/>
        <s v="MORTADELLA E BURRATA" u="1"/>
        <s v="CAFFE AMERICANO" u="1"/>
        <s v="1/2 NATURALE" u="1"/>
        <s v="GINSENG AMARO GRANDE" u="1"/>
        <s v="CAFFE SHAKERATO" u="1"/>
        <s v="GINGER BEER" u="1"/>
        <s v="SAMBUCA" u="1"/>
        <s v="KRAKEN" u="1"/>
        <s v="SEX ON THE BEACH" u="1"/>
        <s v="KRESSIA BOTTIGLIA" u="1"/>
        <s v="POP STAR" u="1"/>
        <s v="DRIFT PASSION" u="1"/>
        <s v="SEVILLA MULE" u="1"/>
        <s v="KORN DOG" u="1"/>
        <s v="CAFFE DOPPIO" u="1"/>
        <s v="CIOCCOLATA BIANCA CON NOCCIOLE" u="1"/>
        <s v="SANBITTER" u="1"/>
        <s v="CARAFFA ICH CRUDA 1,5L" u="1"/>
        <s v="GRAPPA BARRICATA" u="1"/>
        <s v="GREEN ZERO" u="1"/>
        <s v="REGINETTE IN BIANCO" u="1"/>
        <s v="LASAGNA" u="1"/>
        <s v="TORTA DELLA NONNA" u="1"/>
        <s v="EGO" u="1"/>
        <s v="CAPPUCCINO DEK" u="1"/>
        <s v="BLODYMARY" u="1"/>
        <s v="CALICE CAGNULARI SMP" u="1"/>
        <s v="CALICE AKENTA" u="1"/>
        <s v="PRIMO DEL GIORNO" u="1"/>
        <s v="SACHER" u="1"/>
        <s v="NUTELLINA" u="1"/>
        <s v="--CLIENTE--" u="1"/>
        <s v="--CAFFETTERIA--" u="1"/>
        <s v="--BIBITE--" u="1"/>
        <s v="--BIRRE--" u="1"/>
        <s v="--VINI BIANCHI--" u="1"/>
        <s v="--VINI ROSSI E ROSATI--" u="1"/>
        <s v="--ANTIPASTI--" u="1"/>
        <s v="--PRIMI--" u="1"/>
        <s v="--SECONDI--" u="1"/>
        <s v="--BURGER MENU--" u="1"/>
        <s v="--DOLCI--" u="1"/>
        <s v="--PIZZE CLASSICHE--" u="1"/>
        <s v="AVERNA" u="1"/>
        <s v="PAO GIN" u="1"/>
        <s v="LIMONATA" u="1"/>
        <s v="MENABREA ROSSA" u="1"/>
        <s v="BALADIN ISAAC" u="1"/>
        <s v="AMARETTO DISARONNO" u="1"/>
        <s v="LAGAVULLIN" u="1"/>
        <s v="MACALLAN" u="1"/>
        <s v="FILU E FERRU" u="1"/>
        <s v="OLD FASHIONED" u="1"/>
        <s v="MENU FISSO" u="1"/>
        <s v="CAMOMILLA" u="1"/>
        <s v="CIOCCOLATA FONDENTE" u="1"/>
        <s v="PERONI SENZA GLUTINE" u="1"/>
        <s v="CALICE BURANTI' ROSATO" u="1"/>
        <s v="TIRAMISU FRAGOLE" u="1"/>
        <s v="PARMA" u="1"/>
        <s v="MERAVIGLIOSA" u="1"/>
        <s v="SCHWEPPES" u="1"/>
        <s v="ABUELO 12 YO" u="1"/>
        <s v="BOVALE BOTTIGLIA" u="1"/>
        <s v="PASTA IN BIANCO" u="1"/>
        <s v="CONTORNO DEL GIORNO" u="1"/>
        <s v="CHESSECAKE" u="1"/>
        <s v="SCHIUMETTA DI LATTE" u="1"/>
        <s v="SUCCO PESCA" u="1"/>
        <s v="SPRITZ SELECT" u="1"/>
        <s v="MARTINI BIANCO" u="1"/>
        <s v="MARTINI DRY" u="1"/>
        <s v="BALADIN SUPER" u="1"/>
        <s v="BALADIN L IPA" u="1"/>
        <s v="DON PAPA BAROKO" u="1"/>
        <s v="HAVANA ANEJO 7YO" u="1"/>
        <s v="MALFY ROSA" u="1"/>
        <s v="WODKA MENTA" u="1"/>
        <s v="GLENFIDDICH 15" u="1"/>
        <s v="BARRIQUE MAMUTHONE" u="1"/>
        <s v="MOJITO" u="1"/>
        <s v="PINA COLADA" u="1"/>
        <s v="GIN FIZZ" u="1"/>
        <s v="NEGRONI SBAGLIATO" u="1"/>
        <s v="MOSCOW MULE" u="1"/>
        <s v="CUBA LIBRE" u="1"/>
        <s v="VODKA PESCA RED BULL" u="1"/>
        <s v="BOTTIGLIA CHLAMYS" u="1"/>
        <s v="CALICE RECONTA" u="1"/>
        <s v="BOTT RECONTA" u="1"/>
        <s v="BOTTIGLIA VINO ROSSO" u="1"/>
        <s v="TAPAS" u="1"/>
        <s v="SALAMELLE FRIARIELLI CIPOLL" u="1"/>
        <s v="CAFFE MACCHIATO FREDDO" u="1"/>
        <s v="CAFFE LUNGO" u="1"/>
        <s v="PASTA SENZA GLUTINE" u="1"/>
        <s v="CAIPIROSKA FRUTTA" u="1"/>
        <s v="CIPOLLA AGRODOLCE" u="1"/>
        <s v="HAMBURGER BABY" u="1"/>
        <s v="CREMA CAFFE" u="1"/>
        <s v="CIOCCOLATA CON PANNA" u="1"/>
        <s v="GINSENG MACCHIATO" u="1"/>
        <s v="CAFFE RISTRETTO" u="1"/>
        <s v="MACCHIATONE" u="1"/>
        <s v="CAPPUCCINO SOIA" u="1"/>
        <s v="CIOCCOLATA GIANDUIA" u="1"/>
        <s v="CIOCCOLATA BIANCA" u="1"/>
        <s v="GINSENG DOLCE GRANDE" u="1"/>
        <s v="BISCOTTO MIGNON" u="1"/>
        <s v="FROLLINO" u="1"/>
        <s v="ARANCIATA AMARA" u="1"/>
        <s v="GINGER ALE" u="1"/>
        <s v="SUCCO MIRTILLO" u="1"/>
        <s v="CEDRATA TASSONI" u="1"/>
        <s v="THE VERDE" u="1"/>
        <s v="SUCCO BANANA" u="1"/>
        <s v="CHINOTTO" u="1"/>
        <s v="BITTER CAMPARI" u="1"/>
        <s v="BALADIN NAZIONALE" u="1"/>
        <s v="BIRRA DEL BORGO" u="1"/>
        <s v="MENABREA WEISS" u="1"/>
        <s v="CARAFFA ICH CRUDA 1L" u="1"/>
        <s v="SPINA GUINESS 0,25" u="1"/>
        <s v="CARAFFA BLANCHE 1L" u="1"/>
        <s v="CORONA" u="1"/>
        <s v="UNICUM" u="1"/>
        <s v="CREMA DI WHISKEY" u="1"/>
        <s v="FERNET BRANCA" u="1"/>
        <s v="CHINA MARTINI" u="1"/>
        <s v="CREMA DI LIMONCELLO" u="1"/>
        <s v="RAMAZZOTTI" u="1"/>
        <s v="MIRTO BIANCO" u="1"/>
        <s v="LUCANO" u="1"/>
        <s v="BRAULIO" u="1"/>
        <s v="MIDORI" u="1"/>
        <s v="VECCHIA ROMAGNA" u="1"/>
        <s v="DIPLOMATICO RISERVA" u="1"/>
        <s v="ZACAPA XO" u="1"/>
        <s v="HAVANA ANEJO 3YO" u="1"/>
        <s v="TANQUERAY RANGPUR" u="1"/>
        <s v="MALFY CLASSIC" u="1"/>
        <s v="SAUZA" u="1"/>
        <s v="LAPHROAIG" u="1"/>
        <s v="GLENLIVET" u="1"/>
        <s v="RUM COOLER" u="1"/>
        <s v="WHITE RUSSIAN" u="1"/>
        <s v="VODKA SOUR" u="1"/>
        <s v="GIN TONIC HENDRICK'S" u="1"/>
        <s v="VODKA FRAGOLA RED BULL" u="1"/>
        <s v="BOTTIGLIA CENTO GEMME" u="1"/>
        <s v="BOTTIGLIA BRANU" u="1"/>
        <s v="BOTTIGLIA MIRALL" u="1"/>
        <s v="TANCA FARRA BOTTIGLIA" u="1"/>
        <s v="MEDEUS BOTTIGLIA" u="1"/>
        <s v="SARTIGLIA BOTTIGLIA" u="1"/>
        <s v="BOTTIGLIA BOVALE" u="1"/>
        <s v="CALICE SARTIGLIA" u="1"/>
        <s v="BOTTIGLIA BURANTI'" u="1"/>
        <s v="OSCARI BOTTIGLIA" u="1"/>
        <s v="BOTTIGLIA PROSECCO" u="1"/>
        <s v="PANCAKE" u="1"/>
        <s v="NEGRONI 2.0" u="1"/>
        <s v="SAMEDI S SECRET" u="1"/>
        <s v="BEE HAPPY" u="1"/>
        <s v="BIRRA" u="1"/>
        <s v="BIBITE" u="1"/>
        <s v="VINO" u="1"/>
        <s v="ACQUA NAT" u="1"/>
        <s v="ACQUA GAS" u="1"/>
        <s v="APERITIVO" u="1"/>
        <s v="PREMIUM" u="1"/>
        <s v="BOTTIGLIA PREMIUM" u="1"/>
        <s v="BOTTIGLIA BASE" u="1"/>
        <s v="POLENTA DEL GIORNO" u="1"/>
        <s v="GNOCCHETTI AL SUGO" u="1"/>
        <s v="HAMBURGER MENU" u="1"/>
        <s v="COTOLETTA MENU" u="1"/>
        <s v="HORSE DRIVING" u="1"/>
        <s v="HAMURGER BABY + PATATE FRITTE" u="1"/>
        <s v="INSALATA MISTA" u="1"/>
        <s v="INSALATA DI POMODORI" u="1"/>
        <s v="MUFFIN ALBICOCCA" u="1"/>
        <s v="MUFFIN CIOCCOLATO" u="1"/>
        <s v="DIAVOLA" u="1"/>
      </sharedItems>
    </cacheField>
    <cacheField name="Categoria_Report" numFmtId="0">
      <sharedItems count="66">
        <s v=""/>
        <s v="--CLIENTE--"/>
        <s v="--CAFFETTERIA--"/>
        <s v="--BIBITE--"/>
        <s v="--APERITIVI--"/>
        <s v="--BIRRE--"/>
        <s v="--AMARI E LIQUORI--"/>
        <s v="--GIN--"/>
        <s v="--COCKTAIL--"/>
        <s v="--VINI BIANCHI--"/>
        <s v="--VINI ROSSI E ROSATI--"/>
        <s v="--SNACK E MERENDA--"/>
        <s v="--ANTIPASTI--"/>
        <s v="--PRIMI--"/>
        <s v="--SECONDI--"/>
        <s v="--BURGER MENU--"/>
        <s v="--CONTORNI--"/>
        <s v="--INSALATE--"/>
        <s v="--BABY--"/>
        <s v="--DOLCI--"/>
        <s v="--PIZZE CLASSICHE--"/>
        <s v="--PIZZE CREATIVE--"/>
        <s v="--RUM--" u="1"/>
        <s v="--VODKA--" u="1"/>
        <s v="--GRAPPE--" u="1"/>
        <s v="--SPUMANTI E PROSECCHI--" u="1"/>
        <s v="--EGO DRINKS--" u="1"/>
        <s v="--PIZZE DOLCI--" u="1"/>
        <s v="--WHISKEY--" u="1"/>
        <s v="--CLUB--" u="1"/>
        <s v="COPERTO" u="1"/>
        <s v="CAFFE" u="1"/>
        <s v="PASTA" u="1"/>
        <s v="GINSENG DOLCE" u="1"/>
        <s v="MIGNON" u="1"/>
        <s v="DONUT" u="1"/>
        <s v="CAPPUCCINO" u="1"/>
        <s v="LATTE MACCHIATO" u="1"/>
        <s v="CAFFE MACCHIATO CALDO" u="1"/>
        <s v="CAPPUCCINO DEK" u="1"/>
        <s v="ACQUA BICC GAS" u="1"/>
        <s v="ACQUA NAT 0,50" u="1"/>
        <s v="COCA COLA" u="1"/>
        <s v="SUCCO ANANAS" u="1"/>
        <s v="ACQUA BICC NAT" u="1"/>
        <s v="ACQUA GAS 0,50" u="1"/>
        <s v="ACQUA NAT 0,75" u="1"/>
        <s v="ACQUA GAS 0,75" u="1"/>
        <s v="SPREMUTA" u="1"/>
        <s v="THE PESCA" u="1"/>
        <s v="SPINA HEINEKEN 0,25" u="1"/>
        <s v="CALICE CENTO GEMME" u="1"/>
        <s v="KRESSIA BOTTIGLIA" u="1"/>
        <s v="CALICE KRESSIA" u="1"/>
        <s v="POLPO CON CREMA PATATE" u="1"/>
        <s v="REGINETTE PROFUMO MARE" u="1"/>
        <s v="PRIMO DEL GIORNO" u="1"/>
        <s v="SECONDO DEL GIORNO" u="1"/>
        <s v="TAGLIATA DI MANZO" u="1"/>
        <s v="BREAD AND PORK" u="1"/>
        <s v="COTOLETTA PANINO" u="1"/>
        <s v="DOLCE DELLA CASA" u="1"/>
        <s v="4 STAGIONI" u="1"/>
        <s v="MARGHERITA" u="1"/>
        <s v="--BRANDY--" u="1"/>
        <s v="--TEQUILA--" u="1"/>
      </sharedItems>
    </cacheField>
    <cacheField name="TOT. IMP." numFmtId="44">
      <sharedItems containsSemiMixedTypes="0" containsString="0" containsNumber="1" minValue="0" maxValue="236.36363636363635"/>
    </cacheField>
    <cacheField name="PERCENTUALE" numFmtId="10">
      <sharedItems containsSemiMixedTypes="0" containsString="0" containsNumber="1" minValue="0" maxValue="0.1499786568834435"/>
    </cacheField>
    <cacheField name="COSTO UNITARIO" numFmtId="44">
      <sharedItems containsSemiMixedTypes="0" containsString="0" containsNumber="1" minValue="0" maxValue="15.318181818181815"/>
    </cacheField>
    <cacheField name="COSTO TOTALE" numFmtId="44">
      <sharedItems containsSemiMixedTypes="0" containsString="0" containsNumber="1" minValue="0" maxValue="81"/>
    </cacheField>
    <cacheField name="MARGINE" numFmtId="44">
      <sharedItems containsSemiMixedTypes="0" containsString="0" containsNumber="1" minValue="0" maxValue="124.77272727272725"/>
    </cacheField>
    <cacheField name="% MARGINE" numFmtId="9">
      <sharedItems containsSemiMixedTypes="0" containsString="0" containsNumber="1" minValue="0" maxValue="0.8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n v="51"/>
    <x v="0"/>
    <n v="30"/>
    <n v="1.4890000000000001"/>
    <n v="44.67"/>
    <x v="0"/>
    <x v="0"/>
    <n v="40.609090909090909"/>
    <n v="2.5767486934551623E-2"/>
    <n v="0"/>
    <n v="0"/>
    <n v="0"/>
    <n v="0"/>
  </r>
  <r>
    <x v="1"/>
    <n v="55"/>
    <x v="0"/>
    <n v="90"/>
    <n v="2.8888888888888888"/>
    <n v="260"/>
    <x v="1"/>
    <x v="1"/>
    <n v="236.36363636363635"/>
    <n v="0.1499786568834435"/>
    <n v="0"/>
    <n v="0"/>
    <n v="0"/>
    <n v="0"/>
  </r>
  <r>
    <x v="2"/>
    <n v="115"/>
    <x v="1"/>
    <n v="8"/>
    <n v="1.95"/>
    <n v="15.6"/>
    <x v="2"/>
    <x v="2"/>
    <n v="14.18181818181818"/>
    <n v="8.9987194130066086E-3"/>
    <n v="0.3"/>
    <n v="2.4"/>
    <n v="11.78181818181818"/>
    <n v="0.8307692307692307"/>
  </r>
  <r>
    <x v="3"/>
    <n v="131"/>
    <x v="1"/>
    <n v="14"/>
    <n v="1.4464285714285714"/>
    <n v="20.25"/>
    <x v="3"/>
    <x v="2"/>
    <n v="18.409090909090907"/>
    <n v="1.1681030007268195E-2"/>
    <n v="0.7"/>
    <n v="9.7999999999999989"/>
    <n v="8.6090909090909076"/>
    <n v="0.4676543209876543"/>
  </r>
  <r>
    <x v="4"/>
    <n v="101"/>
    <x v="1"/>
    <n v="32"/>
    <n v="1.1996875"/>
    <n v="38.39"/>
    <x v="4"/>
    <x v="2"/>
    <n v="34.9"/>
    <n v="2.2144925529828448E-2"/>
    <n v="0.2"/>
    <n v="6.4"/>
    <n v="28.5"/>
    <n v="0.81661891117478513"/>
  </r>
  <r>
    <x v="5"/>
    <n v="133"/>
    <x v="1"/>
    <n v="4"/>
    <n v="1.4624999999999999"/>
    <n v="5.85"/>
    <x v="5"/>
    <x v="2"/>
    <n v="5.3181818181818175"/>
    <n v="3.3745197798774784E-3"/>
    <n v="0.22"/>
    <n v="0.88"/>
    <n v="4.4381818181818176"/>
    <n v="0.83452991452991454"/>
  </r>
  <r>
    <x v="6"/>
    <n v="109"/>
    <x v="1"/>
    <n v="5"/>
    <n v="1.4380000000000002"/>
    <n v="7.19"/>
    <x v="6"/>
    <x v="2"/>
    <n v="6.5363636363636362"/>
    <n v="4.1474867038152263E-3"/>
    <n v="0.3"/>
    <n v="1.5"/>
    <n v="5.0363636363636362"/>
    <n v="0.77051460361613355"/>
  </r>
  <r>
    <x v="7"/>
    <n v="120"/>
    <x v="1"/>
    <n v="1"/>
    <n v="2"/>
    <n v="2"/>
    <x v="7"/>
    <x v="2"/>
    <n v="1.8181818181818181"/>
    <n v="1.1536819760264885E-3"/>
    <n v="0.35"/>
    <n v="0.35"/>
    <n v="1.4681818181818183"/>
    <n v="0.80750000000000011"/>
  </r>
  <r>
    <x v="8"/>
    <n v="147"/>
    <x v="1"/>
    <n v="5"/>
    <n v="1.3800000000000001"/>
    <n v="6.9"/>
    <x v="8"/>
    <x v="2"/>
    <n v="6.2727272727272725"/>
    <n v="3.9802028172913851E-3"/>
    <n v="0.3"/>
    <n v="1.5"/>
    <n v="4.7727272727272725"/>
    <n v="0.76086956521739124"/>
  </r>
  <r>
    <x v="9"/>
    <n v="166"/>
    <x v="1"/>
    <n v="3"/>
    <n v="0.88666666666666671"/>
    <n v="2.66"/>
    <x v="9"/>
    <x v="2"/>
    <n v="2.418181818181818"/>
    <n v="1.5343970281152296E-3"/>
    <n v="0.38222222222222219"/>
    <n v="1.1466666666666665"/>
    <n v="1.2715151515151515"/>
    <n v="0.52581453634085218"/>
  </r>
  <r>
    <x v="10"/>
    <n v="177"/>
    <x v="1"/>
    <n v="2"/>
    <n v="0.89500000000000002"/>
    <n v="1.79"/>
    <x v="10"/>
    <x v="2"/>
    <n v="1.6272727272727272"/>
    <n v="1.0325453685437072E-3"/>
    <n v="0.38222222222222219"/>
    <n v="0.76444444444444437"/>
    <n v="0.86282828282828283"/>
    <n v="0.53022967101179397"/>
  </r>
  <r>
    <x v="11"/>
    <n v="102"/>
    <x v="1"/>
    <n v="1"/>
    <n v="2.5"/>
    <n v="2.5"/>
    <x v="11"/>
    <x v="2"/>
    <n v="2.2727272727272725"/>
    <n v="1.4421024700331105E-3"/>
    <n v="0.25"/>
    <n v="0.25"/>
    <n v="2.0227272727272725"/>
    <n v="0.89"/>
  </r>
  <r>
    <x v="12"/>
    <n v="201"/>
    <x v="2"/>
    <n v="4"/>
    <n v="0.29249999999999998"/>
    <n v="1.17"/>
    <x v="12"/>
    <x v="3"/>
    <n v="1.0636363636363635"/>
    <n v="6.7490395597549573E-4"/>
    <n v="0.13661041666666665"/>
    <n v="0.5464416666666666"/>
    <n v="0.51719469696969689"/>
    <n v="0.4862514245014245"/>
  </r>
  <r>
    <x v="13"/>
    <n v="203"/>
    <x v="2"/>
    <n v="4"/>
    <n v="1.4624999999999999"/>
    <n v="5.85"/>
    <x v="13"/>
    <x v="3"/>
    <n v="5.3181818181818175"/>
    <n v="3.3745197798774784E-3"/>
    <n v="0.2"/>
    <n v="0.8"/>
    <n v="4.5181818181818176"/>
    <n v="0.84957264957264955"/>
  </r>
  <r>
    <x v="14"/>
    <n v="251"/>
    <x v="2"/>
    <n v="6"/>
    <n v="3.2833333333333332"/>
    <n v="19.7"/>
    <x v="14"/>
    <x v="3"/>
    <n v="17.909090909090907"/>
    <n v="1.136376746386091E-2"/>
    <n v="0.66"/>
    <n v="3.96"/>
    <n v="13.949090909090906"/>
    <n v="0.77888324873096437"/>
  </r>
  <r>
    <x v="15"/>
    <n v="218"/>
    <x v="2"/>
    <n v="1"/>
    <n v="5.14"/>
    <n v="5.14"/>
    <x v="15"/>
    <x v="3"/>
    <n v="4.672727272727272"/>
    <n v="2.9649626783880751E-3"/>
    <n v="1.2"/>
    <n v="1.2"/>
    <n v="3.4727272727272718"/>
    <n v="0.74319066147859913"/>
  </r>
  <r>
    <x v="16"/>
    <n v="206"/>
    <x v="2"/>
    <n v="3"/>
    <n v="2.89"/>
    <n v="8.67"/>
    <x v="16"/>
    <x v="3"/>
    <n v="7.8818181818181809"/>
    <n v="5.0012113660748269E-3"/>
    <n v="0.56999999999999995"/>
    <n v="1.71"/>
    <n v="6.171818181818181"/>
    <n v="0.78304498269896194"/>
  </r>
  <r>
    <x v="17"/>
    <n v="212"/>
    <x v="2"/>
    <n v="10"/>
    <n v="3.4609999999999999"/>
    <n v="34.61"/>
    <x v="17"/>
    <x v="3"/>
    <n v="31.463636363636361"/>
    <n v="1.9964466595138383E-2"/>
    <n v="0.66"/>
    <n v="6.6000000000000005"/>
    <n v="24.86363636363636"/>
    <n v="0.79023403640566303"/>
  </r>
  <r>
    <x v="18"/>
    <n v="250"/>
    <x v="2"/>
    <n v="1"/>
    <n v="3.5"/>
    <n v="3.5"/>
    <x v="18"/>
    <x v="3"/>
    <n v="3.1818181818181817"/>
    <n v="2.0189434580463548E-3"/>
    <n v="0.59767500000000007"/>
    <n v="0.59767500000000007"/>
    <n v="2.5841431818181815"/>
    <n v="0.81215928571428564"/>
  </r>
  <r>
    <x v="19"/>
    <n v="209"/>
    <x v="2"/>
    <n v="1"/>
    <n v="3.5"/>
    <n v="3.5"/>
    <x v="19"/>
    <x v="3"/>
    <n v="3.1818181818181817"/>
    <n v="2.0189434580463548E-3"/>
    <n v="0.66"/>
    <n v="0.66"/>
    <n v="2.5218181818181815"/>
    <n v="0.79257142857142848"/>
  </r>
  <r>
    <x v="20"/>
    <n v="202"/>
    <x v="2"/>
    <n v="1"/>
    <n v="0.27"/>
    <n v="0.27"/>
    <x v="20"/>
    <x v="3"/>
    <n v="0.24545454545454545"/>
    <n v="1.5574706676357595E-4"/>
    <n v="0.13661041666666665"/>
    <n v="0.13661041666666665"/>
    <n v="0.1088441287878788"/>
    <n v="0.44343904320987659"/>
  </r>
  <r>
    <x v="21"/>
    <n v="204"/>
    <x v="2"/>
    <n v="2"/>
    <n v="1.5"/>
    <n v="3"/>
    <x v="21"/>
    <x v="3"/>
    <n v="2.7272727272727271"/>
    <n v="1.7305229640397326E-3"/>
    <n v="0.27325416666666663"/>
    <n v="0.54650833333333326"/>
    <n v="2.1807643939393939"/>
    <n v="0.79961361111111118"/>
  </r>
  <r>
    <x v="22"/>
    <n v="303"/>
    <x v="3"/>
    <n v="2"/>
    <n v="3.15"/>
    <n v="6.3"/>
    <x v="22"/>
    <x v="4"/>
    <n v="5.7272727272727266"/>
    <n v="3.6340982244834385E-3"/>
    <n v="0.61475000000000002"/>
    <n v="1.2295"/>
    <n v="4.4977727272727268"/>
    <n v="0.78532539682539682"/>
  </r>
  <r>
    <x v="23"/>
    <n v="320"/>
    <x v="3"/>
    <n v="7"/>
    <n v="8"/>
    <n v="56"/>
    <x v="23"/>
    <x v="4"/>
    <n v="50.909090909090907"/>
    <n v="3.2303095328741677E-2"/>
    <n v="1.81"/>
    <n v="12.67"/>
    <n v="38.239090909090905"/>
    <n v="0.75112499999999993"/>
  </r>
  <r>
    <x v="24"/>
    <n v="319"/>
    <x v="3"/>
    <n v="1"/>
    <n v="8"/>
    <n v="8"/>
    <x v="24"/>
    <x v="4"/>
    <n v="7.2727272727272725"/>
    <n v="4.6147279041059541E-3"/>
    <n v="1.65"/>
    <n v="1.65"/>
    <n v="5.622727272727273"/>
    <n v="0.77312500000000006"/>
  </r>
  <r>
    <x v="25"/>
    <n v="311"/>
    <x v="3"/>
    <n v="14"/>
    <n v="3.5"/>
    <n v="49"/>
    <x v="25"/>
    <x v="4"/>
    <n v="44.54545454545454"/>
    <n v="2.8265208412648964E-2"/>
    <n v="0.95"/>
    <n v="13.299999999999999"/>
    <n v="31.245454545454542"/>
    <n v="0.7014285714285714"/>
  </r>
  <r>
    <x v="26"/>
    <n v="401"/>
    <x v="4"/>
    <n v="23"/>
    <n v="3.3669565217391302"/>
    <n v="77.44"/>
    <x v="26"/>
    <x v="5"/>
    <n v="70.399999999999991"/>
    <n v="4.4670566111745628E-2"/>
    <n v="0.875"/>
    <n v="20.125"/>
    <n v="50.274999999999991"/>
    <n v="0.71413352272727271"/>
  </r>
  <r>
    <x v="27"/>
    <n v="416"/>
    <x v="4"/>
    <n v="1"/>
    <n v="4"/>
    <n v="4"/>
    <x v="27"/>
    <x v="5"/>
    <n v="3.6363636363636362"/>
    <n v="2.307363952052977E-3"/>
    <n v="0.96875"/>
    <n v="0.96875"/>
    <n v="2.6676136363636362"/>
    <n v="0.73359375000000004"/>
  </r>
  <r>
    <x v="28"/>
    <n v="407"/>
    <x v="4"/>
    <n v="2"/>
    <n v="4"/>
    <n v="8"/>
    <x v="28"/>
    <x v="5"/>
    <n v="7.2727272727272725"/>
    <n v="4.6147279041059541E-3"/>
    <n v="2.0878000000000001"/>
    <n v="4.1756000000000002"/>
    <n v="3.0971272727272723"/>
    <n v="0.42585499999999993"/>
  </r>
  <r>
    <x v="29"/>
    <n v="425"/>
    <x v="4"/>
    <n v="2"/>
    <n v="12"/>
    <n v="24"/>
    <x v="29"/>
    <x v="5"/>
    <n v="21.818181818181817"/>
    <n v="1.384418371231786E-2"/>
    <n v="3.5"/>
    <n v="7"/>
    <n v="14.818181818181817"/>
    <n v="0.6791666666666667"/>
  </r>
  <r>
    <x v="30"/>
    <n v="402"/>
    <x v="4"/>
    <n v="1"/>
    <n v="5.5"/>
    <n v="5.5"/>
    <x v="30"/>
    <x v="5"/>
    <n v="5"/>
    <n v="3.1726254340728433E-3"/>
    <n v="1.75"/>
    <n v="1.75"/>
    <n v="3.25"/>
    <n v="0.65"/>
  </r>
  <r>
    <x v="31"/>
    <n v="614"/>
    <x v="5"/>
    <n v="1"/>
    <n v="3.1"/>
    <n v="3.1"/>
    <x v="31"/>
    <x v="6"/>
    <n v="2.8181818181818179"/>
    <n v="1.788207062841057E-3"/>
    <n v="0.49199999999999999"/>
    <n v="0.49199999999999999"/>
    <n v="2.3261818181818179"/>
    <n v="0.82541935483870965"/>
  </r>
  <r>
    <x v="32"/>
    <n v="506"/>
    <x v="5"/>
    <n v="5"/>
    <n v="3.0460000000000003"/>
    <n v="15.23"/>
    <x v="32"/>
    <x v="6"/>
    <n v="13.845454545454544"/>
    <n v="8.78528824744171E-3"/>
    <n v="0.90149999999999997"/>
    <n v="4.5075000000000003"/>
    <n v="9.3379545454545436"/>
    <n v="0.67444189100459617"/>
  </r>
  <r>
    <x v="33"/>
    <n v="615"/>
    <x v="5"/>
    <n v="4"/>
    <n v="3.1524999999999999"/>
    <n v="12.61"/>
    <x v="33"/>
    <x v="6"/>
    <n v="11.463636363636363"/>
    <n v="7.27396485884701E-3"/>
    <n v="0.49199999999999999"/>
    <n v="1.968"/>
    <n v="9.495636363636363"/>
    <n v="0.82832672482157021"/>
  </r>
  <r>
    <x v="34"/>
    <n v="618"/>
    <x v="5"/>
    <n v="2"/>
    <n v="3.5"/>
    <n v="7"/>
    <x v="34"/>
    <x v="6"/>
    <n v="6.3636363636363633"/>
    <n v="4.0378869160927096E-3"/>
    <n v="0.67584999999999995"/>
    <n v="1.3516999999999999"/>
    <n v="5.0119363636363632"/>
    <n v="0.78759000000000001"/>
  </r>
  <r>
    <x v="35"/>
    <n v="507"/>
    <x v="5"/>
    <n v="2"/>
    <n v="3.5"/>
    <n v="7"/>
    <x v="35"/>
    <x v="6"/>
    <n v="6.3636363636363633"/>
    <n v="4.0378869160927096E-3"/>
    <n v="0.56804999999999994"/>
    <n v="1.1360999999999999"/>
    <n v="5.2275363636363634"/>
    <n v="0.82147000000000003"/>
  </r>
  <r>
    <x v="36"/>
    <n v="514"/>
    <x v="5"/>
    <n v="8"/>
    <n v="3.5"/>
    <n v="28"/>
    <x v="36"/>
    <x v="6"/>
    <n v="25.454545454545453"/>
    <n v="1.6151547664370838E-2"/>
    <n v="0.67130000000000001"/>
    <n v="5.3704000000000001"/>
    <n v="20.084145454545453"/>
    <n v="0.78901999999999994"/>
  </r>
  <r>
    <x v="37"/>
    <n v="1007"/>
    <x v="6"/>
    <n v="6"/>
    <n v="12"/>
    <n v="72"/>
    <x v="37"/>
    <x v="7"/>
    <n v="65.454545454545453"/>
    <n v="4.1532551136953588E-2"/>
    <n v="2.95"/>
    <n v="17.700000000000003"/>
    <n v="47.75454545454545"/>
    <n v="0.72958333333333325"/>
  </r>
  <r>
    <x v="38"/>
    <n v="12660"/>
    <x v="7"/>
    <n v="2"/>
    <n v="2.5"/>
    <n v="5"/>
    <x v="38"/>
    <x v="8"/>
    <n v="4.545454545454545"/>
    <n v="2.8842049400662211E-3"/>
    <n v="0.4"/>
    <n v="0.8"/>
    <n v="3.7454545454545451"/>
    <n v="0.82400000000000007"/>
  </r>
  <r>
    <x v="39"/>
    <n v="1613"/>
    <x v="8"/>
    <n v="4"/>
    <n v="4"/>
    <n v="16"/>
    <x v="39"/>
    <x v="9"/>
    <n v="14.545454545454545"/>
    <n v="9.2294558082119081E-3"/>
    <n v="0"/>
    <n v="0"/>
    <n v="0"/>
    <n v="0"/>
  </r>
  <r>
    <x v="40"/>
    <n v="1603"/>
    <x v="8"/>
    <n v="1"/>
    <n v="24"/>
    <n v="24"/>
    <x v="40"/>
    <x v="9"/>
    <n v="21.818181818181817"/>
    <n v="1.384418371231786E-2"/>
    <n v="8.36"/>
    <n v="8.36"/>
    <n v="13.458181818181817"/>
    <n v="0.61683333333333334"/>
  </r>
  <r>
    <x v="41"/>
    <n v="1615"/>
    <x v="8"/>
    <n v="2"/>
    <n v="6"/>
    <n v="12"/>
    <x v="41"/>
    <x v="9"/>
    <n v="10.909090909090908"/>
    <n v="6.9220918561589302E-3"/>
    <n v="0"/>
    <n v="0"/>
    <n v="0"/>
    <n v="0"/>
  </r>
  <r>
    <x v="42"/>
    <n v="1602"/>
    <x v="8"/>
    <n v="4"/>
    <n v="5"/>
    <n v="20"/>
    <x v="42"/>
    <x v="9"/>
    <n v="18.18181818181818"/>
    <n v="1.1536819760264884E-2"/>
    <n v="1.1100000000000001"/>
    <n v="4.4400000000000004"/>
    <n v="13.741818181818179"/>
    <n v="0.75579999999999992"/>
  </r>
  <r>
    <x v="43"/>
    <n v="1706"/>
    <x v="9"/>
    <n v="7"/>
    <n v="5"/>
    <n v="35"/>
    <x v="43"/>
    <x v="10"/>
    <n v="31.818181818181817"/>
    <n v="2.0189434580463548E-2"/>
    <n v="1.276"/>
    <n v="8.9320000000000004"/>
    <n v="22.886181818181818"/>
    <n v="0.71928000000000003"/>
  </r>
  <r>
    <x v="44"/>
    <n v="1709"/>
    <x v="9"/>
    <n v="2"/>
    <n v="6.6150000000000002"/>
    <n v="13.23"/>
    <x v="44"/>
    <x v="10"/>
    <n v="12.027272727272727"/>
    <n v="7.6316062714152219E-3"/>
    <n v="1.0053333333333334"/>
    <n v="2.0106666666666668"/>
    <n v="10.01660606060606"/>
    <n v="0.83282438901486511"/>
  </r>
  <r>
    <x v="45"/>
    <n v="1720"/>
    <x v="9"/>
    <n v="1"/>
    <n v="5"/>
    <n v="5"/>
    <x v="45"/>
    <x v="10"/>
    <n v="4.545454545454545"/>
    <n v="2.8842049400662211E-3"/>
    <n v="0"/>
    <n v="0"/>
    <n v="0"/>
    <n v="0"/>
  </r>
  <r>
    <x v="46"/>
    <n v="1702"/>
    <x v="9"/>
    <n v="3"/>
    <n v="5"/>
    <n v="15"/>
    <x v="46"/>
    <x v="10"/>
    <n v="13.636363636363635"/>
    <n v="8.6526148201986636E-3"/>
    <n v="1.2"/>
    <n v="3.5999999999999996"/>
    <n v="10.036363636363635"/>
    <n v="0.73599999999999999"/>
  </r>
  <r>
    <x v="47"/>
    <n v="2005"/>
    <x v="10"/>
    <n v="1"/>
    <n v="2"/>
    <n v="2"/>
    <x v="47"/>
    <x v="11"/>
    <n v="1.8181818181818181"/>
    <n v="1.1536819760264885E-3"/>
    <n v="0.90909090909090906"/>
    <n v="0.90909090909090906"/>
    <n v="0.90909090909090906"/>
    <n v="0.5"/>
  </r>
  <r>
    <x v="48"/>
    <n v="3006"/>
    <x v="11"/>
    <n v="9"/>
    <n v="25.15"/>
    <n v="226.35"/>
    <x v="48"/>
    <x v="12"/>
    <n v="205.77272727272725"/>
    <n v="0.13056795763679782"/>
    <n v="9"/>
    <n v="81"/>
    <n v="124.77272727272725"/>
    <n v="0.6063618290258449"/>
  </r>
  <r>
    <x v="49"/>
    <n v="3004"/>
    <x v="11"/>
    <n v="2"/>
    <n v="10"/>
    <n v="20"/>
    <x v="49"/>
    <x v="12"/>
    <n v="18.18181818181818"/>
    <n v="1.1536819760264884E-2"/>
    <n v="4.2363636363636363"/>
    <n v="8.4727272727272727"/>
    <n v="9.7090909090909072"/>
    <n v="0.53399999999999992"/>
  </r>
  <r>
    <x v="50"/>
    <n v="3001"/>
    <x v="11"/>
    <n v="2"/>
    <n v="12"/>
    <n v="24"/>
    <x v="50"/>
    <x v="12"/>
    <n v="21.818181818181817"/>
    <n v="1.384418371231786E-2"/>
    <n v="2.7272727272727271"/>
    <n v="5.4545454545454541"/>
    <n v="16.363636363636363"/>
    <n v="0.75"/>
  </r>
  <r>
    <x v="51"/>
    <n v="3106"/>
    <x v="12"/>
    <n v="5"/>
    <n v="7.4"/>
    <n v="37"/>
    <x v="51"/>
    <x v="13"/>
    <n v="33.636363636363633"/>
    <n v="2.1343116556490037E-2"/>
    <n v="5.1454545454545455"/>
    <n v="25.727272727272727"/>
    <n v="7.9090909090909065"/>
    <n v="0.23513513513513509"/>
  </r>
  <r>
    <x v="52"/>
    <n v="3103"/>
    <x v="12"/>
    <n v="1"/>
    <n v="15"/>
    <n v="15"/>
    <x v="52"/>
    <x v="13"/>
    <n v="13.636363636363635"/>
    <n v="8.6526148201986636E-3"/>
    <n v="4.8484848484848477"/>
    <n v="4.8484848484848477"/>
    <n v="8.7878787878787872"/>
    <n v="0.64444444444444449"/>
  </r>
  <r>
    <x v="53"/>
    <n v="3102"/>
    <x v="12"/>
    <n v="1"/>
    <n v="18"/>
    <n v="18"/>
    <x v="53"/>
    <x v="13"/>
    <n v="16.363636363636363"/>
    <n v="1.0383137784238397E-2"/>
    <n v="5.4545454545454541"/>
    <n v="5.4545454545454541"/>
    <n v="10.90909090909091"/>
    <n v="0.66666666666666674"/>
  </r>
  <r>
    <x v="54"/>
    <n v="3211"/>
    <x v="13"/>
    <n v="3"/>
    <n v="12.223333333333334"/>
    <n v="36.67"/>
    <x v="54"/>
    <x v="14"/>
    <n v="33.336363636363636"/>
    <n v="2.1152759030445667E-2"/>
    <n v="9.0909090909090899"/>
    <n v="27.27272727272727"/>
    <n v="6.0636363636363662"/>
    <n v="0.18189255522225259"/>
  </r>
  <r>
    <x v="55"/>
    <n v="3214"/>
    <x v="13"/>
    <n v="3"/>
    <n v="19.333333333333332"/>
    <n v="58"/>
    <x v="55"/>
    <x v="14"/>
    <n v="52.72727272727272"/>
    <n v="3.3456777304768162E-2"/>
    <n v="0"/>
    <n v="0"/>
    <n v="0"/>
    <n v="0"/>
  </r>
  <r>
    <x v="56"/>
    <n v="3210"/>
    <x v="13"/>
    <n v="1"/>
    <n v="12.56"/>
    <n v="12.56"/>
    <x v="56"/>
    <x v="14"/>
    <n v="11.418181818181818"/>
    <n v="7.2451228094463482E-3"/>
    <n v="4.2424242424242422"/>
    <n v="4.2424242424242422"/>
    <n v="7.1757575757575758"/>
    <n v="0.6284501061571125"/>
  </r>
  <r>
    <x v="57"/>
    <n v="3205"/>
    <x v="13"/>
    <n v="2"/>
    <n v="26"/>
    <n v="52"/>
    <x v="57"/>
    <x v="14"/>
    <n v="47.272727272727266"/>
    <n v="2.9995731376688699E-2"/>
    <n v="15.318181818181815"/>
    <n v="30.63636363636363"/>
    <n v="16.636363636363637"/>
    <n v="0.35192307692307701"/>
  </r>
  <r>
    <x v="58"/>
    <n v="3204"/>
    <x v="13"/>
    <n v="1"/>
    <n v="18"/>
    <n v="18"/>
    <x v="58"/>
    <x v="14"/>
    <n v="16.363636363636363"/>
    <n v="1.0383137784238397E-2"/>
    <n v="5.4545454545454541"/>
    <n v="5.4545454545454541"/>
    <n v="10.90909090909091"/>
    <n v="0.66666666666666674"/>
  </r>
  <r>
    <x v="59"/>
    <n v="3303"/>
    <x v="14"/>
    <n v="4"/>
    <n v="9"/>
    <n v="36"/>
    <x v="59"/>
    <x v="15"/>
    <n v="32.727272727272727"/>
    <n v="2.0766275568476794E-2"/>
    <n v="2.7272727272727271"/>
    <n v="10.909090909090908"/>
    <n v="21.81818181818182"/>
    <n v="0.66666666666666674"/>
  </r>
  <r>
    <x v="60"/>
    <n v="3301"/>
    <x v="14"/>
    <n v="2"/>
    <n v="9"/>
    <n v="18"/>
    <x v="60"/>
    <x v="15"/>
    <n v="16.363636363636363"/>
    <n v="1.0383137784238397E-2"/>
    <n v="2.7272727272727271"/>
    <n v="5.4545454545454541"/>
    <n v="10.90909090909091"/>
    <n v="0.66666666666666674"/>
  </r>
  <r>
    <x v="61"/>
    <n v="3401"/>
    <x v="15"/>
    <n v="1"/>
    <n v="5"/>
    <n v="5"/>
    <x v="61"/>
    <x v="16"/>
    <n v="4.545454545454545"/>
    <n v="2.8842049400662211E-3"/>
    <n v="1.5151515151515151"/>
    <n v="1.5151515151515151"/>
    <n v="3.0303030303030298"/>
    <n v="0.66666666666666663"/>
  </r>
  <r>
    <x v="62"/>
    <n v="3502"/>
    <x v="16"/>
    <n v="1"/>
    <n v="12"/>
    <n v="12"/>
    <x v="62"/>
    <x v="17"/>
    <n v="10.909090909090908"/>
    <n v="6.9220918561589302E-3"/>
    <n v="3.6363636363636362"/>
    <n v="3.6363636363636362"/>
    <n v="7.2727272727272716"/>
    <n v="0.66666666666666663"/>
  </r>
  <r>
    <x v="63"/>
    <n v="3503"/>
    <x v="16"/>
    <n v="1"/>
    <n v="10"/>
    <n v="10"/>
    <x v="63"/>
    <x v="17"/>
    <n v="9.0909090909090899"/>
    <n v="5.7684098801324421E-3"/>
    <n v="3.0303030303030303"/>
    <n v="3.0303030303030303"/>
    <n v="6.0606060606060597"/>
    <n v="0.66666666666666663"/>
  </r>
  <r>
    <x v="64"/>
    <n v="3606"/>
    <x v="17"/>
    <n v="1"/>
    <n v="10"/>
    <n v="10"/>
    <x v="64"/>
    <x v="18"/>
    <n v="9.0909090909090899"/>
    <n v="5.7684098801324421E-3"/>
    <n v="3.0303030303030303"/>
    <n v="3.0303030303030303"/>
    <n v="6.0606060606060597"/>
    <n v="0.66666666666666663"/>
  </r>
  <r>
    <x v="65"/>
    <n v="4020"/>
    <x v="18"/>
    <n v="6"/>
    <n v="5.8966666666666674"/>
    <n v="35.380000000000003"/>
    <x v="65"/>
    <x v="19"/>
    <n v="32.163636363636364"/>
    <n v="2.0408634155908583E-2"/>
    <n v="0"/>
    <n v="0"/>
    <n v="0"/>
    <n v="0"/>
  </r>
  <r>
    <x v="66"/>
    <n v="4014"/>
    <x v="18"/>
    <n v="1"/>
    <n v="4"/>
    <n v="4"/>
    <x v="66"/>
    <x v="19"/>
    <n v="3.6363636363636362"/>
    <n v="2.307363952052977E-3"/>
    <n v="0"/>
    <n v="0"/>
    <n v="0"/>
    <n v="0"/>
  </r>
  <r>
    <x v="67"/>
    <n v="4107"/>
    <x v="19"/>
    <n v="1"/>
    <n v="8"/>
    <n v="8"/>
    <x v="67"/>
    <x v="20"/>
    <n v="7.2727272727272725"/>
    <n v="4.6147279041059541E-3"/>
    <n v="2.11"/>
    <n v="2.11"/>
    <n v="5.1627272727272722"/>
    <n v="0.70987499999999992"/>
  </r>
  <r>
    <x v="68"/>
    <n v="4108"/>
    <x v="19"/>
    <n v="1"/>
    <n v="9"/>
    <n v="9"/>
    <x v="68"/>
    <x v="20"/>
    <n v="8.1818181818181817"/>
    <n v="5.1915688921191985E-3"/>
    <n v="2.27"/>
    <n v="2.27"/>
    <n v="5.9118181818181821"/>
    <n v="0.72255555555555562"/>
  </r>
  <r>
    <x v="69"/>
    <n v="4101"/>
    <x v="19"/>
    <n v="2"/>
    <n v="9.5"/>
    <n v="19"/>
    <x v="69"/>
    <x v="20"/>
    <n v="17.27272727272727"/>
    <n v="1.095997877225164E-2"/>
    <n v="1.74"/>
    <n v="3.48"/>
    <n v="13.792727272727269"/>
    <n v="0.79852631578947364"/>
  </r>
  <r>
    <x v="70"/>
    <n v="4208"/>
    <x v="20"/>
    <n v="2"/>
    <n v="13"/>
    <n v="26"/>
    <x v="70"/>
    <x v="21"/>
    <n v="23.636363636363633"/>
    <n v="1.4997865688344349E-2"/>
    <n v="2.95"/>
    <n v="5.9"/>
    <n v="17.736363636363635"/>
    <n v="0.75038461538461543"/>
  </r>
  <r>
    <x v="71"/>
    <s v="SERVIZIO"/>
    <x v="21"/>
    <n v="63"/>
    <n v="0"/>
    <n v="0"/>
    <x v="0"/>
    <x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s v="COPERTO"/>
    <n v="51"/>
    <x v="0"/>
    <n v="30"/>
    <n v="1.4890000000000001"/>
    <n v="44.67"/>
    <x v="0"/>
    <x v="0"/>
    <n v="40.609090909090909"/>
    <n v="2.5767486934551623E-2"/>
    <n v="0"/>
    <n v="0"/>
    <n v="0"/>
    <n v="0"/>
  </r>
  <r>
    <s v="FISH"/>
    <n v="55"/>
    <x v="0"/>
    <n v="90"/>
    <n v="2.8888888888888888"/>
    <n v="260"/>
    <x v="1"/>
    <x v="1"/>
    <n v="236.36363636363635"/>
    <n v="0.1499786568834435"/>
    <n v="0"/>
    <n v="0"/>
    <n v="0"/>
    <n v="0"/>
  </r>
  <r>
    <s v="CAPPUCCINO"/>
    <n v="115"/>
    <x v="1"/>
    <n v="8"/>
    <n v="1.95"/>
    <n v="15.6"/>
    <x v="2"/>
    <x v="2"/>
    <n v="14.18181818181818"/>
    <n v="8.9987194130066086E-3"/>
    <n v="0.3"/>
    <n v="2.4"/>
    <n v="11.78181818181818"/>
    <n v="0.8307692307692307"/>
  </r>
  <r>
    <s v="PASTA"/>
    <n v="131"/>
    <x v="1"/>
    <n v="14"/>
    <n v="1.4464285714285714"/>
    <n v="20.25"/>
    <x v="3"/>
    <x v="2"/>
    <n v="18.409090909090907"/>
    <n v="1.1681030007268195E-2"/>
    <n v="0.7"/>
    <n v="9.7999999999999989"/>
    <n v="8.6090909090909076"/>
    <n v="0.4676543209876543"/>
  </r>
  <r>
    <s v="CAFFE"/>
    <n v="101"/>
    <x v="1"/>
    <n v="32"/>
    <n v="1.1996875"/>
    <n v="38.39"/>
    <x v="4"/>
    <x v="2"/>
    <n v="34.9"/>
    <n v="2.2144925529828448E-2"/>
    <n v="0.2"/>
    <n v="6.4"/>
    <n v="28.5"/>
    <n v="0.81661891117478513"/>
  </r>
  <r>
    <s v="CAFFE MACCHIATO CALDO"/>
    <n v="133"/>
    <x v="1"/>
    <n v="4"/>
    <n v="1.4624999999999999"/>
    <n v="5.85"/>
    <x v="5"/>
    <x v="2"/>
    <n v="5.3181818181818175"/>
    <n v="3.3745197798774784E-3"/>
    <n v="0.22"/>
    <n v="0.88"/>
    <n v="4.4381818181818176"/>
    <n v="0.83452991452991454"/>
  </r>
  <r>
    <s v="GINSENG DOLCE"/>
    <n v="109"/>
    <x v="1"/>
    <n v="5"/>
    <n v="1.4380000000000002"/>
    <n v="7.19"/>
    <x v="6"/>
    <x v="2"/>
    <n v="6.5363636363636362"/>
    <n v="4.1474867038152263E-3"/>
    <n v="0.3"/>
    <n v="1.5"/>
    <n v="5.0363636363636362"/>
    <n v="0.77051460361613355"/>
  </r>
  <r>
    <s v="CAFFE E LATTE"/>
    <n v="120"/>
    <x v="1"/>
    <n v="1"/>
    <n v="2"/>
    <n v="2"/>
    <x v="7"/>
    <x v="2"/>
    <n v="1.8181818181818181"/>
    <n v="1.1536819760264885E-3"/>
    <n v="0.35"/>
    <n v="0.35"/>
    <n v="1.4681818181818183"/>
    <n v="0.80750000000000011"/>
  </r>
  <r>
    <s v="GINSENG AMARO"/>
    <n v="147"/>
    <x v="1"/>
    <n v="5"/>
    <n v="1.3800000000000001"/>
    <n v="6.9"/>
    <x v="8"/>
    <x v="2"/>
    <n v="6.2727272727272725"/>
    <n v="3.9802028172913851E-3"/>
    <n v="0.3"/>
    <n v="1.5"/>
    <n v="4.7727272727272725"/>
    <n v="0.76086956521739124"/>
  </r>
  <r>
    <s v="MIGNON"/>
    <n v="166"/>
    <x v="1"/>
    <n v="3"/>
    <n v="0.88666666666666671"/>
    <n v="2.66"/>
    <x v="9"/>
    <x v="2"/>
    <n v="2.418181818181818"/>
    <n v="1.5343970281152296E-3"/>
    <n v="0.38222222222222219"/>
    <n v="1.1466666666666665"/>
    <n v="1.2715151515151515"/>
    <n v="0.52581453634085218"/>
  </r>
  <r>
    <s v="BISCOTTO FARCITO"/>
    <n v="177"/>
    <x v="1"/>
    <n v="2"/>
    <n v="0.89500000000000002"/>
    <n v="1.79"/>
    <x v="10"/>
    <x v="2"/>
    <n v="1.6272727272727272"/>
    <n v="1.0325453685437072E-3"/>
    <n v="0.38222222222222219"/>
    <n v="0.76444444444444437"/>
    <n v="0.86282828282828283"/>
    <n v="0.53022967101179397"/>
  </r>
  <r>
    <s v="CAFFE CORRETTO"/>
    <n v="102"/>
    <x v="1"/>
    <n v="1"/>
    <n v="2.5"/>
    <n v="2.5"/>
    <x v="11"/>
    <x v="2"/>
    <n v="2.2727272727272725"/>
    <n v="1.4421024700331105E-3"/>
    <n v="0.25"/>
    <n v="0.25"/>
    <n v="2.0227272727272725"/>
    <n v="0.89"/>
  </r>
  <r>
    <s v="ACQUA BICC GAS"/>
    <n v="201"/>
    <x v="2"/>
    <n v="4"/>
    <n v="0.29249999999999998"/>
    <n v="1.17"/>
    <x v="12"/>
    <x v="3"/>
    <n v="1.0636363636363635"/>
    <n v="6.7490395597549573E-4"/>
    <n v="0.13661041666666665"/>
    <n v="0.5464416666666666"/>
    <n v="0.51719469696969689"/>
    <n v="0.4862514245014245"/>
  </r>
  <r>
    <s v="ACQUA GAS 0,50"/>
    <n v="203"/>
    <x v="2"/>
    <n v="4"/>
    <n v="1.4624999999999999"/>
    <n v="5.85"/>
    <x v="13"/>
    <x v="3"/>
    <n v="5.3181818181818175"/>
    <n v="3.3745197798774784E-3"/>
    <n v="0.2"/>
    <n v="0.8"/>
    <n v="4.5181818181818176"/>
    <n v="0.84957264957264955"/>
  </r>
  <r>
    <s v="COCA COLA ZERO"/>
    <n v="251"/>
    <x v="2"/>
    <n v="6"/>
    <n v="3.2833333333333332"/>
    <n v="19.7"/>
    <x v="14"/>
    <x v="3"/>
    <n v="17.909090909090907"/>
    <n v="1.136376746386091E-2"/>
    <n v="0.66"/>
    <n v="3.96"/>
    <n v="13.949090909090906"/>
    <n v="0.77888324873096437"/>
  </r>
  <r>
    <s v="SPREMUTA"/>
    <n v="218"/>
    <x v="2"/>
    <n v="1"/>
    <n v="5.14"/>
    <n v="5.14"/>
    <x v="15"/>
    <x v="3"/>
    <n v="4.672727272727272"/>
    <n v="2.9649626783880751E-3"/>
    <n v="1.2"/>
    <n v="1.2"/>
    <n v="3.4727272727272718"/>
    <n v="0.74319066147859913"/>
  </r>
  <r>
    <s v="ACQUA NAT 0,75"/>
    <n v="206"/>
    <x v="2"/>
    <n v="3"/>
    <n v="2.89"/>
    <n v="8.67"/>
    <x v="16"/>
    <x v="3"/>
    <n v="7.8818181818181809"/>
    <n v="5.0012113660748269E-3"/>
    <n v="0.56999999999999995"/>
    <n v="1.71"/>
    <n v="6.171818181818181"/>
    <n v="0.78304498269896194"/>
  </r>
  <r>
    <s v="COCA COLA"/>
    <n v="212"/>
    <x v="2"/>
    <n v="10"/>
    <n v="3.4609999999999999"/>
    <n v="34.61"/>
    <x v="17"/>
    <x v="3"/>
    <n v="31.463636363636361"/>
    <n v="1.9964466595138383E-2"/>
    <n v="0.66"/>
    <n v="6.6000000000000005"/>
    <n v="24.86363636363636"/>
    <n v="0.79023403640566303"/>
  </r>
  <r>
    <s v="FANTA"/>
    <n v="250"/>
    <x v="2"/>
    <n v="1"/>
    <n v="3.5"/>
    <n v="3.5"/>
    <x v="18"/>
    <x v="3"/>
    <n v="3.1818181818181817"/>
    <n v="2.0189434580463548E-3"/>
    <n v="0.59767500000000007"/>
    <n v="0.59767500000000007"/>
    <n v="2.5841431818181815"/>
    <n v="0.81215928571428564"/>
  </r>
  <r>
    <s v="SPRITE"/>
    <n v="209"/>
    <x v="2"/>
    <n v="1"/>
    <n v="3.5"/>
    <n v="3.5"/>
    <x v="19"/>
    <x v="3"/>
    <n v="3.1818181818181817"/>
    <n v="2.0189434580463548E-3"/>
    <n v="0.66"/>
    <n v="0.66"/>
    <n v="2.5218181818181815"/>
    <n v="0.79257142857142848"/>
  </r>
  <r>
    <s v="ACQUA BICC NAT"/>
    <n v="202"/>
    <x v="2"/>
    <n v="1"/>
    <n v="0.27"/>
    <n v="0.27"/>
    <x v="20"/>
    <x v="3"/>
    <n v="0.24545454545454545"/>
    <n v="1.5574706676357595E-4"/>
    <n v="0.13661041666666665"/>
    <n v="0.13661041666666665"/>
    <n v="0.1088441287878788"/>
    <n v="0.44343904320987659"/>
  </r>
  <r>
    <s v="ACQUA NAT 0,50"/>
    <n v="204"/>
    <x v="2"/>
    <n v="2"/>
    <n v="1.5"/>
    <n v="3"/>
    <x v="21"/>
    <x v="3"/>
    <n v="2.7272727272727271"/>
    <n v="1.7305229640397326E-3"/>
    <n v="0.27325416666666663"/>
    <n v="0.54650833333333326"/>
    <n v="2.1807643939393939"/>
    <n v="0.79961361111111118"/>
  </r>
  <r>
    <s v="COCKTAIL SANPELLEGRINO"/>
    <n v="303"/>
    <x v="3"/>
    <n v="2"/>
    <n v="3.15"/>
    <n v="6.3"/>
    <x v="22"/>
    <x v="4"/>
    <n v="5.7272727272727266"/>
    <n v="3.6340982244834385E-3"/>
    <n v="0.61475000000000002"/>
    <n v="1.2295"/>
    <n v="4.4977727272727268"/>
    <n v="0.78532539682539682"/>
  </r>
  <r>
    <s v="SPRITZ APEROL"/>
    <n v="320"/>
    <x v="3"/>
    <n v="7"/>
    <n v="8"/>
    <n v="56"/>
    <x v="23"/>
    <x v="4"/>
    <n v="50.909090909090907"/>
    <n v="3.2303095328741677E-2"/>
    <n v="1.81"/>
    <n v="12.67"/>
    <n v="38.239090909090905"/>
    <n v="0.75112499999999993"/>
  </r>
  <r>
    <s v="NEGRONI"/>
    <n v="319"/>
    <x v="3"/>
    <n v="1"/>
    <n v="8"/>
    <n v="8"/>
    <x v="24"/>
    <x v="4"/>
    <n v="7.2727272727272725"/>
    <n v="4.6147279041059541E-3"/>
    <n v="1.65"/>
    <n v="1.65"/>
    <n v="5.622727272727273"/>
    <n v="0.77312500000000006"/>
  </r>
  <r>
    <s v="CAMPARI SODA"/>
    <n v="311"/>
    <x v="3"/>
    <n v="14"/>
    <n v="3.5"/>
    <n v="49"/>
    <x v="25"/>
    <x v="4"/>
    <n v="44.54545454545454"/>
    <n v="2.8265208412648964E-2"/>
    <n v="0.95"/>
    <n v="13.299999999999999"/>
    <n v="31.245454545454542"/>
    <n v="0.7014285714285714"/>
  </r>
  <r>
    <s v="SPINA HEINEKEN 0,25"/>
    <n v="401"/>
    <x v="4"/>
    <n v="23"/>
    <n v="3.3669565217391302"/>
    <n v="77.44"/>
    <x v="26"/>
    <x v="5"/>
    <n v="70.399999999999991"/>
    <n v="4.4670566111745628E-2"/>
    <n v="0.875"/>
    <n v="20.125"/>
    <n v="50.274999999999991"/>
    <n v="0.71413352272727271"/>
  </r>
  <r>
    <s v="HEINEKEN ANALCOLICA"/>
    <n v="416"/>
    <x v="4"/>
    <n v="1"/>
    <n v="4"/>
    <n v="4"/>
    <x v="27"/>
    <x v="5"/>
    <n v="3.6363636363636362"/>
    <n v="2.307363952052977E-3"/>
    <n v="0.96875"/>
    <n v="0.96875"/>
    <n v="2.6676136363636362"/>
    <n v="0.73359375000000004"/>
  </r>
  <r>
    <s v="SPINA BLANCHE 0,33"/>
    <n v="407"/>
    <x v="4"/>
    <n v="2"/>
    <n v="4"/>
    <n v="8"/>
    <x v="28"/>
    <x v="5"/>
    <n v="7.2727272727272725"/>
    <n v="4.6147279041059541E-3"/>
    <n v="2.0878000000000001"/>
    <n v="4.1756000000000002"/>
    <n v="3.0971272727272723"/>
    <n v="0.42585499999999993"/>
  </r>
  <r>
    <s v="CARAFFA HEINEKEN 1L"/>
    <n v="425"/>
    <x v="4"/>
    <n v="2"/>
    <n v="12"/>
    <n v="24"/>
    <x v="29"/>
    <x v="5"/>
    <n v="21.818181818181817"/>
    <n v="1.384418371231786E-2"/>
    <n v="3.5"/>
    <n v="7"/>
    <n v="14.818181818181817"/>
    <n v="0.6791666666666667"/>
  </r>
  <r>
    <s v="SPINA HEINEKEN 0,50"/>
    <n v="402"/>
    <x v="4"/>
    <n v="1"/>
    <n v="5.5"/>
    <n v="5.5"/>
    <x v="30"/>
    <x v="5"/>
    <n v="5"/>
    <n v="3.1726254340728433E-3"/>
    <n v="1.75"/>
    <n v="1.75"/>
    <n v="3.25"/>
    <n v="0.65"/>
  </r>
  <r>
    <s v="LIMONCINO"/>
    <n v="614"/>
    <x v="5"/>
    <n v="1"/>
    <n v="3.1"/>
    <n v="3.1"/>
    <x v="31"/>
    <x v="6"/>
    <n v="2.8181818181818179"/>
    <n v="1.788207062841057E-3"/>
    <n v="0.49199999999999999"/>
    <n v="0.49199999999999999"/>
    <n v="2.3261818181818179"/>
    <n v="0.82541935483870965"/>
  </r>
  <r>
    <s v="BRANCA MENTA"/>
    <n v="506"/>
    <x v="5"/>
    <n v="5"/>
    <n v="3.0460000000000003"/>
    <n v="15.23"/>
    <x v="32"/>
    <x v="6"/>
    <n v="13.845454545454544"/>
    <n v="8.78528824744171E-3"/>
    <n v="0.90149999999999997"/>
    <n v="4.5075000000000003"/>
    <n v="9.3379545454545436"/>
    <n v="0.67444189100459617"/>
  </r>
  <r>
    <s v="MIRTO ROSSO"/>
    <n v="615"/>
    <x v="5"/>
    <n v="4"/>
    <n v="3.1524999999999999"/>
    <n v="12.61"/>
    <x v="33"/>
    <x v="6"/>
    <n v="11.463636363636363"/>
    <n v="7.27396485884701E-3"/>
    <n v="0.49199999999999999"/>
    <n v="1.968"/>
    <n v="9.495636363636363"/>
    <n v="0.82832672482157021"/>
  </r>
  <r>
    <s v="BAYLES"/>
    <n v="618"/>
    <x v="5"/>
    <n v="2"/>
    <n v="3.5"/>
    <n v="7"/>
    <x v="34"/>
    <x v="6"/>
    <n v="6.3636363636363633"/>
    <n v="4.0378869160927096E-3"/>
    <n v="0.67584999999999995"/>
    <n v="1.3516999999999999"/>
    <n v="5.0119363636363632"/>
    <n v="0.78759000000000001"/>
  </r>
  <r>
    <s v="CYNAR"/>
    <n v="507"/>
    <x v="5"/>
    <n v="2"/>
    <n v="3.5"/>
    <n v="7"/>
    <x v="35"/>
    <x v="6"/>
    <n v="6.3636363636363633"/>
    <n v="4.0378869160927096E-3"/>
    <n v="0.56804999999999994"/>
    <n v="1.1360999999999999"/>
    <n v="5.2275363636363634"/>
    <n v="0.82147000000000003"/>
  </r>
  <r>
    <s v="AMARO DEL CAPO"/>
    <n v="514"/>
    <x v="5"/>
    <n v="8"/>
    <n v="3.5"/>
    <n v="28"/>
    <x v="36"/>
    <x v="6"/>
    <n v="25.454545454545453"/>
    <n v="1.6151547664370838E-2"/>
    <n v="0.67130000000000001"/>
    <n v="5.3704000000000001"/>
    <n v="20.084145454545453"/>
    <n v="0.78901999999999994"/>
  </r>
  <r>
    <s v="GIN MARE"/>
    <n v="1007"/>
    <x v="6"/>
    <n v="6"/>
    <n v="12"/>
    <n v="72"/>
    <x v="37"/>
    <x v="7"/>
    <n v="65.454545454545453"/>
    <n v="4.1532551136953588E-2"/>
    <n v="2.95"/>
    <n v="17.700000000000003"/>
    <n v="47.75454545454545"/>
    <n v="0.72958333333333325"/>
  </r>
  <r>
    <s v="SHOT"/>
    <n v="12660"/>
    <x v="7"/>
    <n v="2"/>
    <n v="2.5"/>
    <n v="5"/>
    <x v="38"/>
    <x v="8"/>
    <n v="4.545454545454545"/>
    <n v="2.8842049400662211E-3"/>
    <n v="0.4"/>
    <n v="0.8"/>
    <n v="3.7454545454545451"/>
    <n v="0.82400000000000007"/>
  </r>
  <r>
    <s v="CALICE BLU"/>
    <n v="1613"/>
    <x v="8"/>
    <n v="4"/>
    <n v="4"/>
    <n v="16"/>
    <x v="39"/>
    <x v="9"/>
    <n v="14.545454545454545"/>
    <n v="9.2294558082119081E-3"/>
    <n v="0"/>
    <n v="0"/>
    <n v="0"/>
    <n v="0"/>
  </r>
  <r>
    <s v="CALA REALE BOTTIGLIA"/>
    <n v="1603"/>
    <x v="8"/>
    <n v="1"/>
    <n v="24"/>
    <n v="24"/>
    <x v="40"/>
    <x v="9"/>
    <n v="21.818181818181817"/>
    <n v="1.384418371231786E-2"/>
    <n v="8.36"/>
    <n v="8.36"/>
    <n v="13.458181818181817"/>
    <n v="0.61683333333333334"/>
  </r>
  <r>
    <s v="CALICE GEWURZTRAMINER"/>
    <n v="1615"/>
    <x v="8"/>
    <n v="2"/>
    <n v="6"/>
    <n v="12"/>
    <x v="41"/>
    <x v="9"/>
    <n v="10.909090909090908"/>
    <n v="6.9220918561589302E-3"/>
    <n v="0"/>
    <n v="0"/>
    <n v="0"/>
    <n v="0"/>
  </r>
  <r>
    <s v="CALICE VINO BIANCO"/>
    <n v="1602"/>
    <x v="8"/>
    <n v="4"/>
    <n v="5"/>
    <n v="20"/>
    <x v="42"/>
    <x v="9"/>
    <n v="18.18181818181818"/>
    <n v="1.1536819760264884E-2"/>
    <n v="1.1100000000000001"/>
    <n v="4.4400000000000004"/>
    <n v="13.741818181818179"/>
    <n v="0.75579999999999992"/>
  </r>
  <r>
    <s v="CALICE KRESSIA"/>
    <n v="1706"/>
    <x v="9"/>
    <n v="7"/>
    <n v="5"/>
    <n v="35"/>
    <x v="43"/>
    <x v="10"/>
    <n v="31.818181818181817"/>
    <n v="2.0189434580463548E-2"/>
    <n v="1.276"/>
    <n v="8.9320000000000004"/>
    <n v="22.886181818181818"/>
    <n v="0.71928000000000003"/>
  </r>
  <r>
    <s v="CALICE BOVALE"/>
    <n v="1709"/>
    <x v="9"/>
    <n v="2"/>
    <n v="6.6150000000000002"/>
    <n v="13.23"/>
    <x v="44"/>
    <x v="10"/>
    <n v="12.027272727272727"/>
    <n v="7.6316062714152219E-3"/>
    <n v="1.0053333333333334"/>
    <n v="2.0106666666666668"/>
    <n v="10.01660606060606"/>
    <n v="0.83282438901486511"/>
  </r>
  <r>
    <s v="CALICE AKENTA ROSE"/>
    <n v="1720"/>
    <x v="9"/>
    <n v="1"/>
    <n v="5"/>
    <n v="5"/>
    <x v="45"/>
    <x v="10"/>
    <n v="4.545454545454545"/>
    <n v="2.8842049400662211E-3"/>
    <n v="0"/>
    <n v="0"/>
    <n v="0"/>
    <n v="0"/>
  </r>
  <r>
    <s v="CALICE VINO ROSSO"/>
    <n v="1702"/>
    <x v="9"/>
    <n v="3"/>
    <n v="5"/>
    <n v="15"/>
    <x v="46"/>
    <x v="10"/>
    <n v="13.636363636363635"/>
    <n v="8.6526148201986636E-3"/>
    <n v="1.2"/>
    <n v="3.5999999999999996"/>
    <n v="10.036363636363635"/>
    <n v="0.73599999999999999"/>
  </r>
  <r>
    <s v="TRAMEZZINO"/>
    <n v="2005"/>
    <x v="10"/>
    <n v="1"/>
    <n v="2"/>
    <n v="2"/>
    <x v="47"/>
    <x v="11"/>
    <n v="1.8181818181818181"/>
    <n v="1.1536819760264885E-3"/>
    <n v="0.90909090909090906"/>
    <n v="0.90909090909090906"/>
    <n v="0.90909090909090906"/>
    <n v="0.5"/>
  </r>
  <r>
    <s v="MENU GASTRONOMIA"/>
    <n v="3006"/>
    <x v="11"/>
    <n v="9"/>
    <n v="25.15"/>
    <n v="226.35"/>
    <x v="48"/>
    <x v="12"/>
    <n v="205.77272727272725"/>
    <n v="0.13056795763679782"/>
    <n v="9"/>
    <n v="81"/>
    <n v="124.77272727272725"/>
    <n v="0.6063618290258449"/>
  </r>
  <r>
    <s v="ANTIPASTO DEL GIORNO"/>
    <n v="3004"/>
    <x v="11"/>
    <n v="2"/>
    <n v="10"/>
    <n v="20"/>
    <x v="49"/>
    <x v="12"/>
    <n v="18.18181818181818"/>
    <n v="1.1536819760264884E-2"/>
    <n v="4.2363636363636363"/>
    <n v="8.4727272727272727"/>
    <n v="9.7090909090909072"/>
    <n v="0.53399999999999992"/>
  </r>
  <r>
    <s v="POLPETTE ALLA CARBONARA"/>
    <n v="3001"/>
    <x v="11"/>
    <n v="2"/>
    <n v="12"/>
    <n v="24"/>
    <x v="50"/>
    <x v="12"/>
    <n v="21.818181818181817"/>
    <n v="1.384418371231786E-2"/>
    <n v="2.7272727272727271"/>
    <n v="5.4545454545454541"/>
    <n v="16.363636363636363"/>
    <n v="0.75"/>
  </r>
  <r>
    <s v="PRIMO DEL GIORNO CON ACQUA"/>
    <n v="3106"/>
    <x v="12"/>
    <n v="5"/>
    <n v="7.4"/>
    <n v="37"/>
    <x v="51"/>
    <x v="13"/>
    <n v="33.636363636363633"/>
    <n v="2.1343116556490037E-2"/>
    <n v="5.1454545454545455"/>
    <n v="25.727272727272727"/>
    <n v="7.9090909090909065"/>
    <n v="0.23513513513513509"/>
  </r>
  <r>
    <s v="RIGATONI ALLA CARBONARA"/>
    <n v="3103"/>
    <x v="12"/>
    <n v="1"/>
    <n v="15"/>
    <n v="15"/>
    <x v="52"/>
    <x v="13"/>
    <n v="13.636363636363635"/>
    <n v="8.6526148201986636E-3"/>
    <n v="4.8484848484848477"/>
    <n v="4.8484848484848477"/>
    <n v="8.7878787878787872"/>
    <n v="0.64444444444444449"/>
  </r>
  <r>
    <s v="REGINETTE IMPERIALI"/>
    <n v="3102"/>
    <x v="12"/>
    <n v="1"/>
    <n v="18"/>
    <n v="18"/>
    <x v="53"/>
    <x v="13"/>
    <n v="16.363636363636363"/>
    <n v="1.0383137784238397E-2"/>
    <n v="5.4545454545454541"/>
    <n v="5.4545454545454541"/>
    <n v="10.90909090909091"/>
    <n v="0.66666666666666674"/>
  </r>
  <r>
    <s v="SECONDO DEL GIORNO CON ACQUA"/>
    <n v="3211"/>
    <x v="13"/>
    <n v="3"/>
    <n v="12.223333333333334"/>
    <n v="36.67"/>
    <x v="54"/>
    <x v="14"/>
    <n v="33.336363636363636"/>
    <n v="2.1152759030445667E-2"/>
    <n v="9.0909090909090899"/>
    <n v="27.27272727272727"/>
    <n v="6.0636363636363662"/>
    <n v="0.18189255522225259"/>
  </r>
  <r>
    <s v="SECONDO DEL GIORNO"/>
    <n v="3214"/>
    <x v="13"/>
    <n v="3"/>
    <n v="19.333333333333332"/>
    <n v="58"/>
    <x v="55"/>
    <x v="14"/>
    <n v="52.72727272727272"/>
    <n v="3.3456777304768162E-2"/>
    <n v="0"/>
    <n v="0"/>
    <n v="0"/>
    <n v="0"/>
  </r>
  <r>
    <s v="COTOLETTA DI MAIALE"/>
    <n v="3210"/>
    <x v="13"/>
    <n v="1"/>
    <n v="12.56"/>
    <n v="12.56"/>
    <x v="56"/>
    <x v="14"/>
    <n v="11.418181818181818"/>
    <n v="7.2451228094463482E-3"/>
    <n v="4.2424242424242422"/>
    <n v="4.2424242424242422"/>
    <n v="7.1757575757575758"/>
    <n v="0.6284501061571125"/>
  </r>
  <r>
    <s v="COSTATA DI SCOTTONA"/>
    <n v="3205"/>
    <x v="13"/>
    <n v="2"/>
    <n v="26"/>
    <n v="52"/>
    <x v="57"/>
    <x v="14"/>
    <n v="47.272727272727266"/>
    <n v="2.9995731376688699E-2"/>
    <n v="15.318181818181815"/>
    <n v="30.63636363636363"/>
    <n v="16.636363636363637"/>
    <n v="0.35192307692307701"/>
  </r>
  <r>
    <s v="TAGLIATA DI MANZO"/>
    <n v="3204"/>
    <x v="13"/>
    <n v="1"/>
    <n v="18"/>
    <n v="18"/>
    <x v="58"/>
    <x v="14"/>
    <n v="16.363636363636363"/>
    <n v="1.0383137784238397E-2"/>
    <n v="5.4545454545454541"/>
    <n v="5.4545454545454541"/>
    <n v="10.90909090909091"/>
    <n v="0.66666666666666674"/>
  </r>
  <r>
    <s v="HAMBURGER PANINO"/>
    <n v="3303"/>
    <x v="14"/>
    <n v="4"/>
    <n v="9"/>
    <n v="36"/>
    <x v="59"/>
    <x v="15"/>
    <n v="32.727272727272727"/>
    <n v="2.0766275568476794E-2"/>
    <n v="2.7272727272727271"/>
    <n v="10.909090909090908"/>
    <n v="21.81818181818182"/>
    <n v="0.66666666666666674"/>
  </r>
  <r>
    <s v="BREAD AND PORK"/>
    <n v="3301"/>
    <x v="14"/>
    <n v="2"/>
    <n v="9"/>
    <n v="18"/>
    <x v="60"/>
    <x v="15"/>
    <n v="16.363636363636363"/>
    <n v="1.0383137784238397E-2"/>
    <n v="2.7272727272727271"/>
    <n v="5.4545454545454541"/>
    <n v="10.90909090909091"/>
    <n v="0.66666666666666674"/>
  </r>
  <r>
    <s v="PATATE FRITTE"/>
    <n v="3401"/>
    <x v="15"/>
    <n v="1"/>
    <n v="5"/>
    <n v="5"/>
    <x v="61"/>
    <x v="16"/>
    <n v="4.545454545454545"/>
    <n v="2.8842049400662211E-3"/>
    <n v="1.5151515151515151"/>
    <n v="1.5151515151515151"/>
    <n v="3.0303030303030298"/>
    <n v="0.66666666666666663"/>
  </r>
  <r>
    <s v="INSALATA DELLA CASA"/>
    <n v="3502"/>
    <x v="16"/>
    <n v="1"/>
    <n v="12"/>
    <n v="12"/>
    <x v="62"/>
    <x v="17"/>
    <n v="10.909090909090908"/>
    <n v="6.9220918561589302E-3"/>
    <n v="3.6363636363636362"/>
    <n v="3.6363636363636362"/>
    <n v="7.2727272727272716"/>
    <n v="0.66666666666666663"/>
  </r>
  <r>
    <s v="CAPRESE"/>
    <n v="3503"/>
    <x v="16"/>
    <n v="1"/>
    <n v="10"/>
    <n v="10"/>
    <x v="63"/>
    <x v="17"/>
    <n v="9.0909090909090899"/>
    <n v="5.7684098801324421E-3"/>
    <n v="3.0303030303030303"/>
    <n v="3.0303030303030303"/>
    <n v="6.0606060606060597"/>
    <n v="0.66666666666666663"/>
  </r>
  <r>
    <s v="COTOLETTA BABY"/>
    <n v="3606"/>
    <x v="17"/>
    <n v="1"/>
    <n v="10"/>
    <n v="10"/>
    <x v="64"/>
    <x v="18"/>
    <n v="9.0909090909090899"/>
    <n v="5.7684098801324421E-3"/>
    <n v="3.0303030303030303"/>
    <n v="3.0303030303030303"/>
    <n v="6.0606060606060597"/>
    <n v="0.66666666666666663"/>
  </r>
  <r>
    <s v="TIRAMISU"/>
    <n v="4020"/>
    <x v="18"/>
    <n v="6"/>
    <n v="5.8966666666666674"/>
    <n v="35.380000000000003"/>
    <x v="65"/>
    <x v="19"/>
    <n v="32.163636363636364"/>
    <n v="2.0408634155908583E-2"/>
    <n v="0"/>
    <n v="0"/>
    <n v="0"/>
    <n v="0"/>
  </r>
  <r>
    <s v="GELATO PRINCIPESSA"/>
    <n v="4014"/>
    <x v="18"/>
    <n v="1"/>
    <n v="4"/>
    <n v="4"/>
    <x v="66"/>
    <x v="19"/>
    <n v="3.6363636363636362"/>
    <n v="2.307363952052977E-3"/>
    <n v="0"/>
    <n v="0"/>
    <n v="0"/>
    <n v="0"/>
  </r>
  <r>
    <s v="NAPOLI"/>
    <n v="4107"/>
    <x v="19"/>
    <n v="1"/>
    <n v="8"/>
    <n v="8"/>
    <x v="67"/>
    <x v="20"/>
    <n v="7.2727272727272725"/>
    <n v="4.6147279041059541E-3"/>
    <n v="2.11"/>
    <n v="2.11"/>
    <n v="5.1627272727272722"/>
    <n v="0.70987499999999992"/>
  </r>
  <r>
    <s v="ORTOLANA"/>
    <n v="4108"/>
    <x v="19"/>
    <n v="1"/>
    <n v="9"/>
    <n v="9"/>
    <x v="68"/>
    <x v="20"/>
    <n v="8.1818181818181817"/>
    <n v="5.1915688921191985E-3"/>
    <n v="2.27"/>
    <n v="2.27"/>
    <n v="5.9118181818181821"/>
    <n v="0.72255555555555562"/>
  </r>
  <r>
    <s v="MARGHERITA"/>
    <n v="4101"/>
    <x v="19"/>
    <n v="2"/>
    <n v="9.5"/>
    <n v="19"/>
    <x v="69"/>
    <x v="20"/>
    <n v="17.27272727272727"/>
    <n v="1.095997877225164E-2"/>
    <n v="1.74"/>
    <n v="3.48"/>
    <n v="13.792727272727269"/>
    <n v="0.79852631578947364"/>
  </r>
  <r>
    <s v="RUSTICA"/>
    <n v="4208"/>
    <x v="20"/>
    <n v="2"/>
    <n v="13"/>
    <n v="26"/>
    <x v="70"/>
    <x v="21"/>
    <n v="23.636363636363633"/>
    <n v="1.4997865688344349E-2"/>
    <n v="2.95"/>
    <n v="5.9"/>
    <n v="17.736363636363635"/>
    <n v="0.75038461538461543"/>
  </r>
  <r>
    <s v="SERVIZIO"/>
    <s v="SERVIZIO"/>
    <x v="21"/>
    <n v="63"/>
    <n v="0"/>
    <n v="0"/>
    <x v="0"/>
    <x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66D32-A00F-401B-B39B-AE9A225C1D01}" name="Pivot_Cat_Qta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7">
  <location ref="A3:B7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dataField="1" showAll="0" measureFilter="1"/>
    <pivotField numFmtId="44" showAll="0"/>
    <pivotField numFmtId="44" showAll="0"/>
    <pivotField axis="axisRow" showAll="0">
      <items count="391">
        <item x="0"/>
        <item m="1" x="178"/>
        <item m="1" x="208"/>
        <item m="1" x="203"/>
        <item m="1" x="147"/>
        <item x="12"/>
        <item x="20"/>
        <item m="1" x="374"/>
        <item x="13"/>
        <item m="1" x="78"/>
        <item m="1" x="373"/>
        <item x="21"/>
        <item x="16"/>
        <item m="1" x="254"/>
        <item m="1" x="96"/>
        <item x="36"/>
        <item m="1" x="121"/>
        <item m="1" x="166"/>
        <item x="49"/>
        <item m="1" x="375"/>
        <item m="1" x="182"/>
        <item m="1" x="85"/>
        <item m="1" x="84"/>
        <item m="1" x="316"/>
        <item m="1" x="249"/>
        <item m="1" x="253"/>
        <item m="1" x="279"/>
        <item m="1" x="324"/>
        <item m="1" x="278"/>
        <item m="1" x="186"/>
        <item m="1" x="183"/>
        <item m="1" x="285"/>
        <item x="34"/>
        <item m="1" x="369"/>
        <item m="1" x="371"/>
        <item m="1" x="370"/>
        <item m="1" x="325"/>
        <item m="1" x="314"/>
        <item m="1" x="323"/>
        <item m="1" x="155"/>
        <item m="1" x="378"/>
        <item m="1" x="361"/>
        <item m="1" x="356"/>
        <item m="1" x="363"/>
        <item m="1" x="355"/>
        <item m="1" x="357"/>
        <item m="1" x="377"/>
        <item m="1" x="365"/>
        <item m="1" x="191"/>
        <item x="32"/>
        <item m="1" x="339"/>
        <item x="60"/>
        <item m="1" x="153"/>
        <item x="4"/>
        <item x="11"/>
        <item m="1" x="76"/>
        <item m="1" x="220"/>
        <item x="7"/>
        <item m="1" x="300"/>
        <item x="5"/>
        <item m="1" x="299"/>
        <item m="1" x="308"/>
        <item m="1" x="302"/>
        <item x="40"/>
        <item m="1" x="233"/>
        <item x="44"/>
        <item m="1" x="114"/>
        <item m="1" x="263"/>
        <item m="1" x="112"/>
        <item m="1" x="113"/>
        <item x="43"/>
        <item m="1" x="116"/>
        <item m="1" x="190"/>
        <item m="1" x="170"/>
        <item m="1" x="118"/>
        <item m="1" x="362"/>
        <item m="1" x="115"/>
        <item x="42"/>
        <item x="46"/>
        <item x="25"/>
        <item m="1" x="204"/>
        <item x="2"/>
        <item m="1" x="230"/>
        <item m="1" x="73"/>
        <item m="1" x="310"/>
        <item x="63"/>
        <item m="1" x="149"/>
        <item m="1" x="329"/>
        <item m="1" x="92"/>
        <item x="29"/>
        <item m="1" x="327"/>
        <item m="1" x="152"/>
        <item m="1" x="83"/>
        <item m="1" x="134"/>
        <item m="1" x="319"/>
        <item m="1" x="272"/>
        <item m="1" x="334"/>
        <item m="1" x="322"/>
        <item m="1" x="176"/>
        <item m="1" x="312"/>
        <item m="1" x="306"/>
        <item m="1" x="311"/>
        <item x="17"/>
        <item x="14"/>
        <item m="1" x="189"/>
        <item m="1" x="106"/>
        <item x="22"/>
        <item m="1" x="271"/>
        <item m="1" x="330"/>
        <item m="1" x="173"/>
        <item x="57"/>
        <item x="64"/>
        <item x="56"/>
        <item m="1" x="382"/>
        <item m="1" x="305"/>
        <item m="1" x="201"/>
        <item m="1" x="335"/>
        <item m="1" x="332"/>
        <item m="1" x="164"/>
        <item m="1" x="291"/>
        <item x="35"/>
        <item m="1" x="389"/>
        <item m="1" x="342"/>
        <item m="1" x="138"/>
        <item m="1" x="280"/>
        <item m="1" x="162"/>
        <item m="1" x="217"/>
        <item m="1" x="195"/>
        <item m="1" x="184"/>
        <item m="1" x="229"/>
        <item m="1" x="72"/>
        <item m="1" x="171"/>
        <item x="18"/>
        <item m="1" x="333"/>
        <item m="1" x="127"/>
        <item m="1" x="193"/>
        <item m="1" x="131"/>
        <item m="1" x="315"/>
        <item m="1" x="288"/>
        <item m="1" x="108"/>
        <item x="37"/>
        <item m="1" x="105"/>
        <item m="1" x="353"/>
        <item m="1" x="107"/>
        <item m="1" x="317"/>
        <item m="1" x="211"/>
        <item x="8"/>
        <item m="1" x="209"/>
        <item x="6"/>
        <item m="1" x="313"/>
        <item m="1" x="307"/>
        <item m="1" x="349"/>
        <item m="1" x="380"/>
        <item m="1" x="224"/>
        <item m="1" x="104"/>
        <item m="1" x="225"/>
        <item m="1" x="156"/>
        <item m="1" x="304"/>
        <item m="1" x="381"/>
        <item m="1" x="128"/>
        <item m="1" x="384"/>
        <item m="1" x="344"/>
        <item m="1" x="281"/>
        <item m="1" x="90"/>
        <item x="27"/>
        <item m="1" x="101"/>
        <item m="1" x="383"/>
        <item m="1" x="167"/>
        <item x="62"/>
        <item m="1" x="386"/>
        <item m="1" x="385"/>
        <item m="1" x="187"/>
        <item m="1" x="185"/>
        <item m="1" x="219"/>
        <item m="1" x="213"/>
        <item m="1" x="215"/>
        <item m="1" x="348"/>
        <item m="1" x="71"/>
        <item m="1" x="161"/>
        <item m="1" x="172"/>
        <item m="1" x="251"/>
        <item x="31"/>
        <item m="1" x="95"/>
        <item m="1" x="338"/>
        <item m="1" x="309"/>
        <item m="1" x="346"/>
        <item m="1" x="282"/>
        <item m="1" x="205"/>
        <item m="1" x="169"/>
        <item x="69"/>
        <item m="1" x="148"/>
        <item m="1" x="177"/>
        <item m="1" x="359"/>
        <item m="1" x="93"/>
        <item m="1" x="252"/>
        <item m="1" x="326"/>
        <item m="1" x="259"/>
        <item m="1" x="266"/>
        <item m="1" x="340"/>
        <item x="9"/>
        <item m="1" x="337"/>
        <item x="33"/>
        <item m="1" x="286"/>
        <item m="1" x="157"/>
        <item m="1" x="94"/>
        <item m="1" x="206"/>
        <item m="1" x="290"/>
        <item m="1" x="160"/>
        <item m="1" x="387"/>
        <item m="1" x="388"/>
        <item x="67"/>
        <item x="24"/>
        <item m="1" x="367"/>
        <item m="1" x="289"/>
        <item m="1" x="117"/>
        <item m="1" x="236"/>
        <item x="68"/>
        <item m="1" x="364"/>
        <item m="1" x="123"/>
        <item m="1" x="366"/>
        <item m="1" x="146"/>
        <item m="1" x="250"/>
        <item m="1" x="194"/>
        <item m="1" x="265"/>
        <item m="1" x="151"/>
        <item x="3"/>
        <item m="1" x="301"/>
        <item m="1" x="198"/>
        <item x="61"/>
        <item m="1" x="262"/>
        <item m="1" x="159"/>
        <item m="1" x="379"/>
        <item m="1" x="197"/>
        <item x="50"/>
        <item m="1" x="174"/>
        <item m="1" x="216"/>
        <item m="1" x="158"/>
        <item m="1" x="376"/>
        <item m="1" x="234"/>
        <item m="1" x="336"/>
        <item m="1" x="179"/>
        <item m="1" x="136"/>
        <item m="1" x="135"/>
        <item x="53"/>
        <item m="1" x="226"/>
        <item m="1" x="122"/>
        <item m="1" x="130"/>
        <item x="52"/>
        <item m="1" x="202"/>
        <item m="1" x="350"/>
        <item m="1" x="110"/>
        <item x="70"/>
        <item m="1" x="298"/>
        <item m="1" x="145"/>
        <item m="1" x="212"/>
        <item m="1" x="368"/>
        <item m="1" x="222"/>
        <item m="1" x="360"/>
        <item m="1" x="347"/>
        <item m="1" x="273"/>
        <item m="1" x="267"/>
        <item x="55"/>
        <item m="1" x="218"/>
        <item m="1" x="214"/>
        <item x="38"/>
        <item x="28"/>
        <item m="1" x="87"/>
        <item m="1" x="328"/>
        <item x="26"/>
        <item x="30"/>
        <item m="1" x="88"/>
        <item m="1" x="91"/>
        <item m="1" x="89"/>
        <item x="15"/>
        <item x="19"/>
        <item x="23"/>
        <item m="1" x="86"/>
        <item m="1" x="165"/>
        <item m="1" x="275"/>
        <item m="1" x="129"/>
        <item m="1" x="80"/>
        <item m="1" x="79"/>
        <item m="1" x="321"/>
        <item m="1" x="318"/>
        <item m="1" x="81"/>
        <item m="1" x="274"/>
        <item x="58"/>
        <item m="1" x="125"/>
        <item m="1" x="124"/>
        <item m="1" x="358"/>
        <item m="1" x="98"/>
        <item m="1" x="99"/>
        <item m="1" x="345"/>
        <item m="1" x="102"/>
        <item m="1" x="100"/>
        <item m="1" x="150"/>
        <item m="1" x="74"/>
        <item m="1" x="82"/>
        <item m="1" x="77"/>
        <item m="1" x="320"/>
        <item x="65"/>
        <item m="1" x="75"/>
        <item m="1" x="120"/>
        <item m="1" x="181"/>
        <item m="1" x="228"/>
        <item x="47"/>
        <item m="1" x="331"/>
        <item m="1" x="341"/>
        <item m="1" x="199"/>
        <item m="1" x="372"/>
        <item m="1" x="354"/>
        <item m="1" x="292"/>
        <item m="1" x="109"/>
        <item m="1" x="352"/>
        <item m="1" x="351"/>
        <item m="1" x="283"/>
        <item m="1" x="343"/>
        <item x="10"/>
        <item m="1" x="296"/>
        <item m="1" x="132"/>
        <item m="1" x="303"/>
        <item m="1" x="261"/>
        <item m="1" x="221"/>
        <item m="1" x="268"/>
        <item m="1" x="269"/>
        <item m="1" x="294"/>
        <item m="1" x="258"/>
        <item m="1" x="196"/>
        <item m="1" x="297"/>
        <item m="1" x="270"/>
        <item x="59"/>
        <item m="1" x="143"/>
        <item m="1" x="260"/>
        <item m="1" x="276"/>
        <item m="1" x="277"/>
        <item m="1" x="97"/>
        <item m="1" x="255"/>
        <item m="1" x="284"/>
        <item m="1" x="287"/>
        <item x="39"/>
        <item m="1" x="111"/>
        <item m="1" x="293"/>
        <item m="1" x="232"/>
        <item m="1" x="295"/>
        <item x="45"/>
        <item m="1" x="141"/>
        <item m="1" x="235"/>
        <item m="1" x="264"/>
        <item m="1" x="200"/>
        <item m="1" x="207"/>
        <item m="1" x="256"/>
        <item m="1" x="257"/>
        <item m="1" x="192"/>
        <item m="1" x="12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31"/>
        <item m="1" x="133"/>
        <item m="1" x="227"/>
        <item m="1" x="154"/>
        <item m="1" x="223"/>
        <item x="48"/>
        <item x="54"/>
        <item m="1" x="210"/>
        <item x="51"/>
        <item m="1" x="180"/>
        <item m="1" x="188"/>
        <item m="1" x="140"/>
        <item m="1" x="163"/>
        <item m="1" x="168"/>
        <item m="1" x="175"/>
        <item m="1" x="137"/>
        <item m="1" x="103"/>
        <item m="1" x="119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numFmtId="9" showAll="0"/>
  </pivotFields>
  <rowFields count="1">
    <field x="6"/>
  </rowFields>
  <rowItems count="4">
    <i>
      <x v="18"/>
    </i>
    <i>
      <x v="233"/>
    </i>
    <i>
      <x v="371"/>
    </i>
    <i t="grand">
      <x/>
    </i>
  </rowItems>
  <colItems count="1">
    <i/>
  </colItems>
  <pageFields count="1">
    <pageField fld="2" hier="-1"/>
  </pageFields>
  <dataFields count="1">
    <dataField name="Somma di QUANTITA'" fld="3" baseField="0" baseItem="0"/>
  </dataFields>
  <chartFormats count="4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609AA6-EC06-45BF-9379-C16E13945D37}" name="Pivot_Cat_Qta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4">
  <location ref="A3:B6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dataField="1" showAll="0"/>
    <pivotField numFmtId="44" showAll="0"/>
    <pivotField numFmtId="44" showAll="0"/>
    <pivotField axis="axisRow" showAll="0" measureFilter="1">
      <items count="391">
        <item x="0"/>
        <item m="1" x="178"/>
        <item m="1" x="208"/>
        <item m="1" x="203"/>
        <item m="1" x="147"/>
        <item x="12"/>
        <item x="20"/>
        <item m="1" x="374"/>
        <item x="13"/>
        <item m="1" x="78"/>
        <item m="1" x="373"/>
        <item x="21"/>
        <item x="16"/>
        <item m="1" x="254"/>
        <item m="1" x="96"/>
        <item x="36"/>
        <item m="1" x="121"/>
        <item m="1" x="166"/>
        <item x="49"/>
        <item m="1" x="375"/>
        <item m="1" x="182"/>
        <item m="1" x="85"/>
        <item m="1" x="84"/>
        <item m="1" x="316"/>
        <item m="1" x="249"/>
        <item m="1" x="253"/>
        <item m="1" x="279"/>
        <item m="1" x="324"/>
        <item m="1" x="278"/>
        <item m="1" x="186"/>
        <item m="1" x="183"/>
        <item m="1" x="285"/>
        <item x="34"/>
        <item m="1" x="369"/>
        <item m="1" x="371"/>
        <item m="1" x="370"/>
        <item m="1" x="325"/>
        <item m="1" x="314"/>
        <item m="1" x="323"/>
        <item m="1" x="155"/>
        <item m="1" x="378"/>
        <item m="1" x="361"/>
        <item m="1" x="356"/>
        <item m="1" x="363"/>
        <item m="1" x="355"/>
        <item m="1" x="357"/>
        <item m="1" x="377"/>
        <item m="1" x="365"/>
        <item m="1" x="191"/>
        <item x="32"/>
        <item m="1" x="339"/>
        <item x="60"/>
        <item m="1" x="153"/>
        <item x="4"/>
        <item x="11"/>
        <item m="1" x="76"/>
        <item m="1" x="220"/>
        <item x="7"/>
        <item m="1" x="300"/>
        <item x="5"/>
        <item m="1" x="299"/>
        <item m="1" x="308"/>
        <item m="1" x="302"/>
        <item x="40"/>
        <item m="1" x="233"/>
        <item x="44"/>
        <item m="1" x="114"/>
        <item m="1" x="263"/>
        <item m="1" x="112"/>
        <item m="1" x="113"/>
        <item x="43"/>
        <item m="1" x="116"/>
        <item m="1" x="190"/>
        <item m="1" x="170"/>
        <item m="1" x="118"/>
        <item m="1" x="362"/>
        <item m="1" x="115"/>
        <item x="42"/>
        <item x="46"/>
        <item x="25"/>
        <item m="1" x="204"/>
        <item x="2"/>
        <item m="1" x="230"/>
        <item m="1" x="73"/>
        <item m="1" x="310"/>
        <item x="63"/>
        <item m="1" x="149"/>
        <item m="1" x="329"/>
        <item m="1" x="92"/>
        <item x="29"/>
        <item m="1" x="327"/>
        <item m="1" x="152"/>
        <item m="1" x="83"/>
        <item m="1" x="134"/>
        <item m="1" x="319"/>
        <item m="1" x="272"/>
        <item m="1" x="334"/>
        <item m="1" x="322"/>
        <item m="1" x="176"/>
        <item m="1" x="312"/>
        <item m="1" x="306"/>
        <item m="1" x="311"/>
        <item x="17"/>
        <item x="14"/>
        <item m="1" x="189"/>
        <item m="1" x="106"/>
        <item x="22"/>
        <item m="1" x="271"/>
        <item m="1" x="330"/>
        <item m="1" x="173"/>
        <item x="57"/>
        <item x="64"/>
        <item x="56"/>
        <item m="1" x="382"/>
        <item m="1" x="305"/>
        <item m="1" x="201"/>
        <item m="1" x="335"/>
        <item m="1" x="332"/>
        <item m="1" x="164"/>
        <item m="1" x="291"/>
        <item x="35"/>
        <item m="1" x="389"/>
        <item m="1" x="342"/>
        <item m="1" x="138"/>
        <item m="1" x="280"/>
        <item m="1" x="162"/>
        <item m="1" x="217"/>
        <item m="1" x="195"/>
        <item m="1" x="184"/>
        <item m="1" x="229"/>
        <item m="1" x="72"/>
        <item m="1" x="171"/>
        <item x="18"/>
        <item m="1" x="333"/>
        <item m="1" x="127"/>
        <item m="1" x="193"/>
        <item m="1" x="131"/>
        <item m="1" x="315"/>
        <item m="1" x="288"/>
        <item m="1" x="108"/>
        <item x="37"/>
        <item m="1" x="105"/>
        <item m="1" x="353"/>
        <item m="1" x="107"/>
        <item m="1" x="317"/>
        <item m="1" x="211"/>
        <item x="8"/>
        <item m="1" x="209"/>
        <item x="6"/>
        <item m="1" x="313"/>
        <item m="1" x="307"/>
        <item m="1" x="349"/>
        <item m="1" x="380"/>
        <item m="1" x="224"/>
        <item m="1" x="104"/>
        <item m="1" x="225"/>
        <item m="1" x="156"/>
        <item m="1" x="304"/>
        <item m="1" x="381"/>
        <item m="1" x="128"/>
        <item m="1" x="384"/>
        <item m="1" x="344"/>
        <item m="1" x="281"/>
        <item m="1" x="90"/>
        <item x="27"/>
        <item m="1" x="101"/>
        <item m="1" x="383"/>
        <item m="1" x="167"/>
        <item x="62"/>
        <item m="1" x="386"/>
        <item m="1" x="385"/>
        <item m="1" x="187"/>
        <item m="1" x="185"/>
        <item m="1" x="219"/>
        <item m="1" x="213"/>
        <item m="1" x="215"/>
        <item m="1" x="348"/>
        <item m="1" x="71"/>
        <item m="1" x="161"/>
        <item m="1" x="172"/>
        <item m="1" x="251"/>
        <item x="31"/>
        <item m="1" x="95"/>
        <item m="1" x="338"/>
        <item m="1" x="309"/>
        <item m="1" x="346"/>
        <item m="1" x="282"/>
        <item m="1" x="205"/>
        <item m="1" x="169"/>
        <item x="69"/>
        <item m="1" x="148"/>
        <item m="1" x="177"/>
        <item m="1" x="359"/>
        <item m="1" x="93"/>
        <item m="1" x="252"/>
        <item m="1" x="326"/>
        <item m="1" x="259"/>
        <item m="1" x="266"/>
        <item m="1" x="340"/>
        <item x="9"/>
        <item m="1" x="337"/>
        <item x="33"/>
        <item m="1" x="286"/>
        <item m="1" x="157"/>
        <item m="1" x="94"/>
        <item m="1" x="206"/>
        <item m="1" x="290"/>
        <item m="1" x="160"/>
        <item m="1" x="387"/>
        <item m="1" x="388"/>
        <item x="67"/>
        <item x="24"/>
        <item m="1" x="367"/>
        <item m="1" x="289"/>
        <item m="1" x="117"/>
        <item m="1" x="236"/>
        <item x="68"/>
        <item m="1" x="364"/>
        <item m="1" x="123"/>
        <item m="1" x="366"/>
        <item m="1" x="146"/>
        <item m="1" x="250"/>
        <item m="1" x="194"/>
        <item m="1" x="265"/>
        <item m="1" x="151"/>
        <item x="3"/>
        <item m="1" x="301"/>
        <item m="1" x="198"/>
        <item x="61"/>
        <item m="1" x="262"/>
        <item m="1" x="159"/>
        <item m="1" x="379"/>
        <item m="1" x="197"/>
        <item x="50"/>
        <item m="1" x="174"/>
        <item m="1" x="216"/>
        <item m="1" x="158"/>
        <item m="1" x="376"/>
        <item m="1" x="234"/>
        <item m="1" x="336"/>
        <item m="1" x="179"/>
        <item m="1" x="136"/>
        <item m="1" x="135"/>
        <item x="53"/>
        <item m="1" x="226"/>
        <item m="1" x="122"/>
        <item m="1" x="130"/>
        <item x="52"/>
        <item m="1" x="202"/>
        <item m="1" x="350"/>
        <item m="1" x="110"/>
        <item x="70"/>
        <item m="1" x="298"/>
        <item m="1" x="145"/>
        <item m="1" x="212"/>
        <item m="1" x="368"/>
        <item m="1" x="222"/>
        <item m="1" x="360"/>
        <item m="1" x="347"/>
        <item m="1" x="273"/>
        <item m="1" x="267"/>
        <item x="55"/>
        <item m="1" x="218"/>
        <item m="1" x="214"/>
        <item x="38"/>
        <item x="28"/>
        <item m="1" x="87"/>
        <item m="1" x="328"/>
        <item x="26"/>
        <item x="30"/>
        <item m="1" x="88"/>
        <item m="1" x="91"/>
        <item m="1" x="89"/>
        <item x="15"/>
        <item x="19"/>
        <item x="23"/>
        <item m="1" x="86"/>
        <item m="1" x="165"/>
        <item m="1" x="275"/>
        <item m="1" x="129"/>
        <item m="1" x="80"/>
        <item m="1" x="79"/>
        <item m="1" x="321"/>
        <item m="1" x="318"/>
        <item m="1" x="81"/>
        <item m="1" x="274"/>
        <item x="58"/>
        <item m="1" x="125"/>
        <item m="1" x="124"/>
        <item m="1" x="358"/>
        <item m="1" x="98"/>
        <item m="1" x="99"/>
        <item m="1" x="345"/>
        <item m="1" x="102"/>
        <item m="1" x="100"/>
        <item m="1" x="150"/>
        <item m="1" x="74"/>
        <item m="1" x="82"/>
        <item m="1" x="77"/>
        <item m="1" x="320"/>
        <item x="65"/>
        <item m="1" x="75"/>
        <item m="1" x="120"/>
        <item m="1" x="181"/>
        <item m="1" x="228"/>
        <item x="47"/>
        <item m="1" x="331"/>
        <item m="1" x="341"/>
        <item m="1" x="199"/>
        <item m="1" x="372"/>
        <item m="1" x="354"/>
        <item m="1" x="292"/>
        <item m="1" x="109"/>
        <item m="1" x="352"/>
        <item m="1" x="351"/>
        <item m="1" x="283"/>
        <item m="1" x="343"/>
        <item x="10"/>
        <item m="1" x="296"/>
        <item m="1" x="132"/>
        <item m="1" x="303"/>
        <item m="1" x="261"/>
        <item m="1" x="221"/>
        <item m="1" x="268"/>
        <item m="1" x="269"/>
        <item m="1" x="294"/>
        <item m="1" x="258"/>
        <item m="1" x="196"/>
        <item m="1" x="297"/>
        <item m="1" x="270"/>
        <item x="59"/>
        <item m="1" x="143"/>
        <item m="1" x="260"/>
        <item m="1" x="276"/>
        <item m="1" x="277"/>
        <item m="1" x="97"/>
        <item m="1" x="255"/>
        <item m="1" x="284"/>
        <item m="1" x="287"/>
        <item x="39"/>
        <item m="1" x="111"/>
        <item m="1" x="293"/>
        <item m="1" x="232"/>
        <item m="1" x="295"/>
        <item x="45"/>
        <item m="1" x="141"/>
        <item m="1" x="235"/>
        <item m="1" x="264"/>
        <item m="1" x="200"/>
        <item m="1" x="207"/>
        <item m="1" x="256"/>
        <item m="1" x="257"/>
        <item m="1" x="192"/>
        <item m="1" x="12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31"/>
        <item m="1" x="133"/>
        <item m="1" x="227"/>
        <item m="1" x="154"/>
        <item m="1" x="223"/>
        <item x="48"/>
        <item x="54"/>
        <item m="1" x="210"/>
        <item x="51"/>
        <item m="1" x="180"/>
        <item m="1" x="188"/>
        <item m="1" x="140"/>
        <item m="1" x="163"/>
        <item m="1" x="168"/>
        <item m="1" x="175"/>
        <item m="1" x="137"/>
        <item m="1" x="103"/>
        <item m="1" x="119"/>
        <item m="1" x="139"/>
        <item x="66"/>
        <item m="1" x="142"/>
        <item m="1" x="144"/>
        <item x="1"/>
        <item x="41"/>
        <item t="default"/>
      </items>
    </pivotField>
    <pivotField showAll="0" measureFilter="1"/>
    <pivotField numFmtId="44" showAll="0"/>
    <pivotField numFmtId="10" showAll="0"/>
    <pivotField numFmtId="44" showAll="0"/>
    <pivotField numFmtId="44" showAll="0"/>
    <pivotField numFmtId="44" showAll="0"/>
    <pivotField numFmtId="9" showAll="0"/>
  </pivotFields>
  <rowFields count="1">
    <field x="6"/>
  </rowFields>
  <rowItems count="3">
    <i>
      <x v="300"/>
    </i>
    <i>
      <x v="385"/>
    </i>
    <i t="grand">
      <x/>
    </i>
  </rowItems>
  <colItems count="1">
    <i/>
  </colItems>
  <pageFields count="1">
    <pageField fld="2" hier="-1"/>
  </pageFields>
  <dataFields count="1">
    <dataField name="Somma di QUANTITA'" fld="3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ount" evalOrder="-1" id="11" iMeasureFld="0">
      <autoFilter ref="A1">
        <filterColumn colId="0">
          <top10 val="5" filterVal="5"/>
        </filterColumn>
      </autoFilter>
    </filter>
    <filter fld="7" type="count" evalOrder="-1" id="9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8D40EB-5F35-45ED-A6DD-4C4A9048384E}" name="Pivot_Cat_€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7">
  <location ref="A3:B9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x="5"/>
        <item x="11"/>
        <item x="3"/>
        <item x="17"/>
        <item x="2"/>
        <item x="4"/>
        <item m="1" x="64"/>
        <item x="14"/>
        <item x="1"/>
        <item h="1" x="0"/>
        <item h="1" m="1" x="29"/>
        <item x="7"/>
        <item x="15"/>
        <item x="18"/>
        <item m="1" x="26"/>
        <item x="6"/>
        <item m="1" x="24"/>
        <item x="16"/>
        <item x="19"/>
        <item x="20"/>
        <item m="1" x="27"/>
        <item x="12"/>
        <item m="1" x="22"/>
        <item x="13"/>
        <item h="1" x="21"/>
        <item x="10"/>
        <item m="1" x="25"/>
        <item m="1" x="65"/>
        <item x="8"/>
        <item x="9"/>
        <item m="1" x="23"/>
        <item m="1" x="28"/>
        <item h="1"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t="default"/>
      </items>
    </pivotField>
    <pivotField showAll="0"/>
    <pivotField numFmtId="44" showAll="0"/>
    <pivotField numFmtId="44" showAll="0"/>
    <pivotField axis="axisRow" showAll="0">
      <items count="391">
        <item x="0"/>
        <item m="1" x="178"/>
        <item m="1" x="208"/>
        <item m="1" x="203"/>
        <item m="1" x="147"/>
        <item x="12"/>
        <item x="20"/>
        <item m="1" x="374"/>
        <item x="13"/>
        <item m="1" x="78"/>
        <item m="1" x="373"/>
        <item x="21"/>
        <item x="16"/>
        <item m="1" x="254"/>
        <item m="1" x="96"/>
        <item x="36"/>
        <item m="1" x="121"/>
        <item m="1" x="166"/>
        <item x="49"/>
        <item m="1" x="375"/>
        <item m="1" x="182"/>
        <item m="1" x="85"/>
        <item m="1" x="84"/>
        <item m="1" x="316"/>
        <item m="1" x="249"/>
        <item m="1" x="253"/>
        <item m="1" x="279"/>
        <item m="1" x="324"/>
        <item m="1" x="278"/>
        <item m="1" x="186"/>
        <item m="1" x="183"/>
        <item m="1" x="285"/>
        <item x="34"/>
        <item m="1" x="369"/>
        <item m="1" x="371"/>
        <item m="1" x="370"/>
        <item m="1" x="325"/>
        <item m="1" x="314"/>
        <item m="1" x="323"/>
        <item m="1" x="155"/>
        <item m="1" x="378"/>
        <item m="1" x="361"/>
        <item m="1" x="356"/>
        <item m="1" x="363"/>
        <item m="1" x="355"/>
        <item m="1" x="357"/>
        <item m="1" x="377"/>
        <item m="1" x="365"/>
        <item m="1" x="191"/>
        <item x="32"/>
        <item m="1" x="339"/>
        <item x="60"/>
        <item m="1" x="153"/>
        <item x="4"/>
        <item x="11"/>
        <item m="1" x="76"/>
        <item m="1" x="220"/>
        <item x="7"/>
        <item m="1" x="300"/>
        <item x="5"/>
        <item m="1" x="299"/>
        <item m="1" x="308"/>
        <item m="1" x="302"/>
        <item x="40"/>
        <item m="1" x="233"/>
        <item x="44"/>
        <item m="1" x="114"/>
        <item m="1" x="263"/>
        <item m="1" x="112"/>
        <item m="1" x="113"/>
        <item x="43"/>
        <item m="1" x="116"/>
        <item m="1" x="190"/>
        <item m="1" x="170"/>
        <item m="1" x="118"/>
        <item m="1" x="362"/>
        <item m="1" x="115"/>
        <item x="42"/>
        <item x="46"/>
        <item x="25"/>
        <item m="1" x="204"/>
        <item x="2"/>
        <item m="1" x="230"/>
        <item m="1" x="73"/>
        <item m="1" x="310"/>
        <item x="63"/>
        <item m="1" x="149"/>
        <item m="1" x="329"/>
        <item m="1" x="92"/>
        <item x="29"/>
        <item m="1" x="327"/>
        <item m="1" x="152"/>
        <item m="1" x="83"/>
        <item m="1" x="134"/>
        <item m="1" x="319"/>
        <item m="1" x="272"/>
        <item m="1" x="334"/>
        <item m="1" x="322"/>
        <item m="1" x="176"/>
        <item m="1" x="312"/>
        <item m="1" x="306"/>
        <item m="1" x="311"/>
        <item x="17"/>
        <item x="14"/>
        <item m="1" x="189"/>
        <item m="1" x="106"/>
        <item x="22"/>
        <item m="1" x="271"/>
        <item m="1" x="330"/>
        <item m="1" x="173"/>
        <item x="57"/>
        <item x="64"/>
        <item x="56"/>
        <item m="1" x="382"/>
        <item m="1" x="305"/>
        <item m="1" x="201"/>
        <item m="1" x="335"/>
        <item m="1" x="332"/>
        <item m="1" x="164"/>
        <item m="1" x="291"/>
        <item x="35"/>
        <item m="1" x="389"/>
        <item m="1" x="342"/>
        <item m="1" x="138"/>
        <item m="1" x="280"/>
        <item m="1" x="162"/>
        <item m="1" x="217"/>
        <item m="1" x="195"/>
        <item m="1" x="184"/>
        <item m="1" x="229"/>
        <item m="1" x="72"/>
        <item m="1" x="171"/>
        <item x="18"/>
        <item m="1" x="333"/>
        <item m="1" x="127"/>
        <item m="1" x="193"/>
        <item m="1" x="131"/>
        <item m="1" x="315"/>
        <item m="1" x="288"/>
        <item m="1" x="108"/>
        <item x="37"/>
        <item m="1" x="105"/>
        <item m="1" x="353"/>
        <item m="1" x="107"/>
        <item m="1" x="317"/>
        <item m="1" x="211"/>
        <item x="8"/>
        <item m="1" x="209"/>
        <item x="6"/>
        <item m="1" x="313"/>
        <item m="1" x="307"/>
        <item m="1" x="349"/>
        <item m="1" x="380"/>
        <item m="1" x="224"/>
        <item m="1" x="104"/>
        <item m="1" x="225"/>
        <item m="1" x="156"/>
        <item m="1" x="304"/>
        <item m="1" x="381"/>
        <item m="1" x="128"/>
        <item m="1" x="384"/>
        <item m="1" x="344"/>
        <item m="1" x="281"/>
        <item m="1" x="90"/>
        <item x="27"/>
        <item m="1" x="101"/>
        <item m="1" x="383"/>
        <item m="1" x="167"/>
        <item x="62"/>
        <item m="1" x="386"/>
        <item m="1" x="385"/>
        <item m="1" x="187"/>
        <item m="1" x="185"/>
        <item m="1" x="219"/>
        <item m="1" x="213"/>
        <item m="1" x="215"/>
        <item m="1" x="348"/>
        <item m="1" x="71"/>
        <item m="1" x="161"/>
        <item m="1" x="172"/>
        <item m="1" x="251"/>
        <item x="31"/>
        <item m="1" x="95"/>
        <item m="1" x="338"/>
        <item m="1" x="309"/>
        <item m="1" x="346"/>
        <item m="1" x="282"/>
        <item m="1" x="205"/>
        <item m="1" x="169"/>
        <item x="69"/>
        <item m="1" x="148"/>
        <item m="1" x="177"/>
        <item m="1" x="359"/>
        <item m="1" x="93"/>
        <item m="1" x="252"/>
        <item m="1" x="326"/>
        <item m="1" x="259"/>
        <item m="1" x="266"/>
        <item m="1" x="340"/>
        <item x="9"/>
        <item m="1" x="337"/>
        <item x="33"/>
        <item m="1" x="286"/>
        <item m="1" x="157"/>
        <item m="1" x="94"/>
        <item m="1" x="206"/>
        <item m="1" x="290"/>
        <item m="1" x="160"/>
        <item m="1" x="387"/>
        <item m="1" x="388"/>
        <item x="67"/>
        <item x="24"/>
        <item m="1" x="367"/>
        <item m="1" x="289"/>
        <item m="1" x="117"/>
        <item m="1" x="236"/>
        <item x="68"/>
        <item m="1" x="364"/>
        <item m="1" x="123"/>
        <item m="1" x="366"/>
        <item m="1" x="146"/>
        <item m="1" x="250"/>
        <item m="1" x="194"/>
        <item m="1" x="265"/>
        <item m="1" x="151"/>
        <item x="3"/>
        <item m="1" x="301"/>
        <item m="1" x="198"/>
        <item x="61"/>
        <item m="1" x="262"/>
        <item m="1" x="159"/>
        <item m="1" x="379"/>
        <item m="1" x="197"/>
        <item x="50"/>
        <item m="1" x="174"/>
        <item m="1" x="216"/>
        <item m="1" x="158"/>
        <item m="1" x="376"/>
        <item m="1" x="234"/>
        <item m="1" x="336"/>
        <item m="1" x="179"/>
        <item m="1" x="136"/>
        <item m="1" x="135"/>
        <item x="53"/>
        <item m="1" x="226"/>
        <item m="1" x="122"/>
        <item m="1" x="130"/>
        <item x="52"/>
        <item m="1" x="202"/>
        <item m="1" x="350"/>
        <item m="1" x="110"/>
        <item x="70"/>
        <item m="1" x="298"/>
        <item m="1" x="145"/>
        <item m="1" x="212"/>
        <item m="1" x="368"/>
        <item m="1" x="222"/>
        <item m="1" x="360"/>
        <item m="1" x="347"/>
        <item m="1" x="273"/>
        <item m="1" x="267"/>
        <item x="55"/>
        <item m="1" x="218"/>
        <item m="1" x="214"/>
        <item x="38"/>
        <item x="28"/>
        <item m="1" x="87"/>
        <item m="1" x="328"/>
        <item x="26"/>
        <item x="30"/>
        <item m="1" x="88"/>
        <item m="1" x="91"/>
        <item m="1" x="89"/>
        <item x="15"/>
        <item x="19"/>
        <item x="23"/>
        <item m="1" x="86"/>
        <item m="1" x="165"/>
        <item m="1" x="275"/>
        <item m="1" x="129"/>
        <item m="1" x="80"/>
        <item m="1" x="79"/>
        <item m="1" x="321"/>
        <item m="1" x="318"/>
        <item m="1" x="81"/>
        <item m="1" x="274"/>
        <item x="58"/>
        <item m="1" x="125"/>
        <item m="1" x="124"/>
        <item m="1" x="358"/>
        <item m="1" x="98"/>
        <item m="1" x="99"/>
        <item m="1" x="345"/>
        <item m="1" x="102"/>
        <item m="1" x="100"/>
        <item m="1" x="150"/>
        <item m="1" x="74"/>
        <item m="1" x="82"/>
        <item m="1" x="77"/>
        <item m="1" x="320"/>
        <item x="65"/>
        <item m="1" x="75"/>
        <item m="1" x="120"/>
        <item m="1" x="181"/>
        <item m="1" x="228"/>
        <item x="47"/>
        <item m="1" x="331"/>
        <item m="1" x="341"/>
        <item m="1" x="199"/>
        <item m="1" x="372"/>
        <item m="1" x="354"/>
        <item m="1" x="292"/>
        <item m="1" x="109"/>
        <item m="1" x="352"/>
        <item m="1" x="351"/>
        <item m="1" x="283"/>
        <item m="1" x="343"/>
        <item x="10"/>
        <item m="1" x="296"/>
        <item m="1" x="132"/>
        <item m="1" x="303"/>
        <item m="1" x="261"/>
        <item m="1" x="221"/>
        <item m="1" x="268"/>
        <item m="1" x="269"/>
        <item m="1" x="294"/>
        <item m="1" x="258"/>
        <item m="1" x="196"/>
        <item m="1" x="297"/>
        <item m="1" x="270"/>
        <item x="59"/>
        <item m="1" x="143"/>
        <item m="1" x="260"/>
        <item m="1" x="276"/>
        <item m="1" x="277"/>
        <item m="1" x="97"/>
        <item m="1" x="255"/>
        <item m="1" x="284"/>
        <item m="1" x="287"/>
        <item x="39"/>
        <item m="1" x="111"/>
        <item m="1" x="293"/>
        <item m="1" x="232"/>
        <item m="1" x="295"/>
        <item x="45"/>
        <item m="1" x="141"/>
        <item m="1" x="235"/>
        <item m="1" x="264"/>
        <item m="1" x="200"/>
        <item m="1" x="207"/>
        <item m="1" x="256"/>
        <item m="1" x="257"/>
        <item m="1" x="192"/>
        <item m="1" x="12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31"/>
        <item m="1" x="133"/>
        <item m="1" x="227"/>
        <item m="1" x="154"/>
        <item m="1" x="223"/>
        <item x="48"/>
        <item x="54"/>
        <item m="1" x="210"/>
        <item x="51"/>
        <item m="1" x="180"/>
        <item m="1" x="188"/>
        <item m="1" x="140"/>
        <item m="1" x="163"/>
        <item m="1" x="168"/>
        <item m="1" x="175"/>
        <item m="1" x="137"/>
        <item m="1" x="103"/>
        <item m="1" x="119"/>
        <item m="1" x="139"/>
        <item x="66"/>
        <item m="1" x="142"/>
        <item m="1" x="144"/>
        <item x="1"/>
        <item x="41"/>
        <item t="default"/>
      </items>
    </pivotField>
    <pivotField axis="axisRow" showAll="0" measureFilter="1">
      <items count="67">
        <item sd="0" x="0"/>
        <item sd="0" x="6"/>
        <item sd="0" x="12"/>
        <item sd="0" x="4"/>
        <item sd="0" x="18"/>
        <item sd="0" x="3"/>
        <item sd="0" x="5"/>
        <item sd="0" m="1" x="64"/>
        <item sd="0" x="15"/>
        <item sd="0" x="2"/>
        <item sd="0" m="1" x="29"/>
        <item sd="0" x="8"/>
        <item sd="0" x="16"/>
        <item sd="0" x="19"/>
        <item sd="0" m="1" x="26"/>
        <item sd="0" x="7"/>
        <item sd="0" m="1" x="24"/>
        <item sd="0" x="17"/>
        <item sd="0" x="20"/>
        <item sd="0" x="21"/>
        <item sd="0" m="1" x="27"/>
        <item sd="0" x="13"/>
        <item sd="0" m="1" x="22"/>
        <item sd="0" x="14"/>
        <item sd="0" x="11"/>
        <item sd="0" m="1" x="25"/>
        <item sd="0" m="1" x="65"/>
        <item sd="0" x="9"/>
        <item sd="0" x="10"/>
        <item sd="0" m="1" x="23"/>
        <item sd="0" m="1" x="28"/>
        <item m="1" x="30"/>
        <item sd="0"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sd="0" m="1" x="51"/>
        <item sd="0" m="1" x="52"/>
        <item m="1" x="53"/>
        <item m="1" x="54"/>
        <item m="1" x="55"/>
        <item m="1" x="56"/>
        <item sd="0" m="1" x="57"/>
        <item sd="0" m="1" x="58"/>
        <item m="1" x="59"/>
        <item m="1" x="60"/>
        <item m="1" x="61"/>
        <item m="1" x="62"/>
        <item m="1" x="63"/>
        <item x="1"/>
        <item t="default"/>
      </items>
    </pivotField>
    <pivotField dataField="1" numFmtId="44" showAll="0"/>
    <pivotField numFmtId="10" showAll="0"/>
    <pivotField numFmtId="44" showAll="0"/>
    <pivotField numFmtId="44" showAll="0"/>
    <pivotField numFmtId="44" showAll="0"/>
    <pivotField numFmtId="9" showAll="0"/>
  </pivotFields>
  <rowFields count="2">
    <field x="7"/>
    <field x="6"/>
  </rowFields>
  <rowItems count="6">
    <i>
      <x v="2"/>
    </i>
    <i>
      <x v="3"/>
    </i>
    <i>
      <x v="6"/>
    </i>
    <i>
      <x v="9"/>
    </i>
    <i>
      <x v="23"/>
    </i>
    <i t="grand">
      <x/>
    </i>
  </rowItems>
  <colItems count="1">
    <i/>
  </colItems>
  <pageFields count="1">
    <pageField fld="2" hier="-1"/>
  </pageFields>
  <dataFields count="1">
    <dataField name="Somma di TOT. IMP." fld="8" baseField="0" baseItem="0" numFmtId="44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3C46A-E82B-4098-AA92-53E96C83B3DC}" name="Pivot_Prod_Qta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5">
  <location ref="A4:B7" firstHeaderRow="1" firstDataRow="1" firstDataCol="1" rowPageCount="2" colPageCount="1"/>
  <pivotFields count="14">
    <pivotField axis="axisPage" multipleItemSelectionAllowed="1" showAll="0">
      <items count="389">
        <item m="1" x="163"/>
        <item m="1" x="194"/>
        <item m="1" x="189"/>
        <item m="1" x="148"/>
        <item x="12"/>
        <item x="20"/>
        <item m="1" x="372"/>
        <item x="13"/>
        <item m="1" x="79"/>
        <item m="1" x="371"/>
        <item x="21"/>
        <item x="16"/>
        <item m="1" x="248"/>
        <item m="1" x="97"/>
        <item x="36"/>
        <item m="1" x="122"/>
        <item m="1" x="271"/>
        <item x="49"/>
        <item m="1" x="373"/>
        <item m="1" x="167"/>
        <item m="1" x="86"/>
        <item m="1" x="85"/>
        <item m="1" x="312"/>
        <item m="1" x="242"/>
        <item m="1" x="247"/>
        <item m="1" x="274"/>
        <item m="1" x="320"/>
        <item m="1" x="273"/>
        <item m="1" x="171"/>
        <item m="1" x="168"/>
        <item m="1" x="280"/>
        <item x="34"/>
        <item m="1" x="367"/>
        <item m="1" x="369"/>
        <item m="1" x="368"/>
        <item m="1" x="321"/>
        <item m="1" x="310"/>
        <item m="1" x="319"/>
        <item m="1" x="156"/>
        <item m="1" x="376"/>
        <item m="1" x="358"/>
        <item m="1" x="353"/>
        <item m="1" x="360"/>
        <item m="1" x="352"/>
        <item m="1" x="354"/>
        <item m="1" x="375"/>
        <item m="1" x="362"/>
        <item m="1" x="176"/>
        <item x="32"/>
        <item m="1" x="336"/>
        <item x="60"/>
        <item m="1" x="154"/>
        <item x="4"/>
        <item x="11"/>
        <item m="1" x="77"/>
        <item m="1" x="212"/>
        <item x="7"/>
        <item m="1" x="296"/>
        <item x="5"/>
        <item m="1" x="295"/>
        <item m="1" x="304"/>
        <item m="1" x="298"/>
        <item x="40"/>
        <item m="1" x="226"/>
        <item x="44"/>
        <item m="1" x="115"/>
        <item m="1" x="257"/>
        <item m="1" x="113"/>
        <item m="1" x="114"/>
        <item x="43"/>
        <item m="1" x="117"/>
        <item m="1" x="175"/>
        <item m="1" x="178"/>
        <item m="1" x="119"/>
        <item m="1" x="359"/>
        <item m="1" x="116"/>
        <item x="42"/>
        <item x="46"/>
        <item x="25"/>
        <item m="1" x="190"/>
        <item x="2"/>
        <item m="1" x="223"/>
        <item m="1" x="74"/>
        <item m="1" x="306"/>
        <item x="63"/>
        <item m="1" x="150"/>
        <item m="1" x="326"/>
        <item m="1" x="93"/>
        <item x="29"/>
        <item m="1" x="323"/>
        <item m="1" x="153"/>
        <item m="1" x="84"/>
        <item m="1" x="135"/>
        <item m="1" x="315"/>
        <item m="1" x="266"/>
        <item m="1" x="331"/>
        <item m="1" x="318"/>
        <item m="1" x="161"/>
        <item m="1" x="308"/>
        <item m="1" x="302"/>
        <item m="1" x="307"/>
        <item x="17"/>
        <item x="14"/>
        <item m="1" x="174"/>
        <item m="1" x="107"/>
        <item x="22"/>
        <item m="1" x="265"/>
        <item h="1" x="0"/>
        <item m="1" x="327"/>
        <item m="1" x="206"/>
        <item x="57"/>
        <item x="64"/>
        <item x="56"/>
        <item m="1" x="380"/>
        <item m="1" x="301"/>
        <item m="1" x="187"/>
        <item m="1" x="332"/>
        <item m="1" x="329"/>
        <item m="1" x="199"/>
        <item m="1" x="287"/>
        <item x="35"/>
        <item m="1" x="387"/>
        <item m="1" x="339"/>
        <item m="1" x="139"/>
        <item m="1" x="275"/>
        <item m="1" x="219"/>
        <item m="1" x="205"/>
        <item m="1" x="181"/>
        <item m="1" x="169"/>
        <item m="1" x="222"/>
        <item m="1" x="73"/>
        <item m="1" x="366"/>
        <item x="18"/>
        <item m="1" x="330"/>
        <item m="1" x="128"/>
        <item m="1" x="179"/>
        <item m="1" x="132"/>
        <item m="1" x="311"/>
        <item m="1" x="284"/>
        <item m="1" x="109"/>
        <item x="37"/>
        <item m="1" x="106"/>
        <item m="1" x="350"/>
        <item m="1" x="108"/>
        <item m="1" x="313"/>
        <item m="1" x="198"/>
        <item x="8"/>
        <item m="1" x="196"/>
        <item x="6"/>
        <item m="1" x="309"/>
        <item m="1" x="303"/>
        <item m="1" x="346"/>
        <item m="1" x="378"/>
        <item m="1" x="216"/>
        <item m="1" x="105"/>
        <item m="1" x="217"/>
        <item m="1" x="157"/>
        <item m="1" x="300"/>
        <item m="1" x="379"/>
        <item m="1" x="129"/>
        <item m="1" x="382"/>
        <item m="1" x="341"/>
        <item m="1" x="276"/>
        <item m="1" x="91"/>
        <item x="27"/>
        <item m="1" x="102"/>
        <item m="1" x="381"/>
        <item m="1" x="325"/>
        <item x="62"/>
        <item m="1" x="384"/>
        <item m="1" x="383"/>
        <item m="1" x="172"/>
        <item m="1" x="170"/>
        <item m="1" x="210"/>
        <item m="1" x="201"/>
        <item m="1" x="203"/>
        <item m="1" x="345"/>
        <item m="1" x="72"/>
        <item m="1" x="195"/>
        <item m="1" x="208"/>
        <item m="1" x="244"/>
        <item x="31"/>
        <item m="1" x="96"/>
        <item m="1" x="335"/>
        <item m="1" x="305"/>
        <item m="1" x="343"/>
        <item m="1" x="277"/>
        <item m="1" x="191"/>
        <item m="1" x="281"/>
        <item x="69"/>
        <item m="1" x="149"/>
        <item m="1" x="162"/>
        <item m="1" x="356"/>
        <item m="1" x="94"/>
        <item m="1" x="246"/>
        <item m="1" x="322"/>
        <item m="1" x="253"/>
        <item m="1" x="260"/>
        <item m="1" x="337"/>
        <item x="9"/>
        <item m="1" x="334"/>
        <item x="33"/>
        <item m="1" x="282"/>
        <item m="1" x="158"/>
        <item m="1" x="95"/>
        <item m="1" x="192"/>
        <item m="1" x="286"/>
        <item m="1" x="211"/>
        <item m="1" x="385"/>
        <item m="1" x="386"/>
        <item x="67"/>
        <item x="24"/>
        <item m="1" x="364"/>
        <item m="1" x="285"/>
        <item m="1" x="118"/>
        <item m="1" x="229"/>
        <item x="68"/>
        <item m="1" x="361"/>
        <item m="1" x="124"/>
        <item m="1" x="363"/>
        <item m="1" x="147"/>
        <item m="1" x="243"/>
        <item m="1" x="180"/>
        <item m="1" x="259"/>
        <item m="1" x="152"/>
        <item x="3"/>
        <item m="1" x="297"/>
        <item m="1" x="184"/>
        <item x="61"/>
        <item m="1" x="256"/>
        <item m="1" x="160"/>
        <item m="1" x="377"/>
        <item m="1" x="183"/>
        <item x="50"/>
        <item m="1" x="209"/>
        <item m="1" x="204"/>
        <item m="1" x="159"/>
        <item m="1" x="374"/>
        <item m="1" x="227"/>
        <item m="1" x="333"/>
        <item m="1" x="164"/>
        <item m="1" x="137"/>
        <item m="1" x="136"/>
        <item x="53"/>
        <item m="1" x="218"/>
        <item m="1" x="123"/>
        <item m="1" x="131"/>
        <item x="52"/>
        <item m="1" x="188"/>
        <item m="1" x="347"/>
        <item m="1" x="111"/>
        <item x="70"/>
        <item m="1" x="294"/>
        <item m="1" x="146"/>
        <item m="1" x="200"/>
        <item m="1" x="365"/>
        <item m="1" x="214"/>
        <item m="1" x="357"/>
        <item m="1" x="344"/>
        <item m="1" x="267"/>
        <item m="1" x="261"/>
        <item x="55"/>
        <item h="1" x="71"/>
        <item m="1" x="207"/>
        <item m="1" x="202"/>
        <item x="38"/>
        <item x="28"/>
        <item m="1" x="88"/>
        <item m="1" x="324"/>
        <item x="26"/>
        <item x="30"/>
        <item m="1" x="89"/>
        <item m="1" x="92"/>
        <item m="1" x="90"/>
        <item x="15"/>
        <item x="19"/>
        <item x="23"/>
        <item m="1" x="87"/>
        <item m="1" x="245"/>
        <item m="1" x="269"/>
        <item m="1" x="130"/>
        <item m="1" x="81"/>
        <item m="1" x="80"/>
        <item m="1" x="317"/>
        <item m="1" x="314"/>
        <item m="1" x="82"/>
        <item m="1" x="268"/>
        <item x="58"/>
        <item m="1" x="126"/>
        <item m="1" x="125"/>
        <item m="1" x="355"/>
        <item m="1" x="99"/>
        <item m="1" x="100"/>
        <item m="1" x="342"/>
        <item m="1" x="103"/>
        <item m="1" x="101"/>
        <item m="1" x="151"/>
        <item m="1" x="75"/>
        <item m="1" x="83"/>
        <item m="1" x="78"/>
        <item m="1" x="316"/>
        <item x="65"/>
        <item m="1" x="76"/>
        <item m="1" x="121"/>
        <item m="1" x="166"/>
        <item m="1" x="221"/>
        <item x="47"/>
        <item m="1" x="328"/>
        <item m="1" x="338"/>
        <item m="1" x="185"/>
        <item m="1" x="370"/>
        <item m="1" x="351"/>
        <item m="1" x="288"/>
        <item m="1" x="110"/>
        <item m="1" x="349"/>
        <item m="1" x="348"/>
        <item m="1" x="278"/>
        <item m="1" x="340"/>
        <item h="1" x="10"/>
        <item h="1" m="1" x="292"/>
        <item h="1" m="1" x="133"/>
        <item h="1" m="1" x="299"/>
        <item h="1" m="1" x="255"/>
        <item h="1" m="1" x="213"/>
        <item h="1" m="1" x="262"/>
        <item h="1" m="1" x="263"/>
        <item h="1" m="1" x="290"/>
        <item h="1" m="1" x="252"/>
        <item h="1" m="1" x="182"/>
        <item h="1" m="1" x="293"/>
        <item h="1" m="1" x="264"/>
        <item h="1" x="59"/>
        <item h="1" m="1" x="144"/>
        <item h="1" m="1" x="254"/>
        <item h="1" m="1" x="270"/>
        <item h="1" m="1" x="272"/>
        <item h="1" m="1" x="98"/>
        <item h="1" m="1" x="249"/>
        <item h="1" m="1" x="279"/>
        <item h="1" m="1" x="283"/>
        <item h="1" x="39"/>
        <item h="1" m="1" x="112"/>
        <item h="1" m="1" x="289"/>
        <item h="1" m="1" x="225"/>
        <item h="1" m="1" x="291"/>
        <item h="1" x="45"/>
        <item h="1" m="1" x="142"/>
        <item h="1" m="1" x="228"/>
        <item h="1" m="1" x="258"/>
        <item h="1" m="1" x="186"/>
        <item h="1" m="1" x="193"/>
        <item h="1" m="1" x="250"/>
        <item h="1" m="1" x="251"/>
        <item h="1" m="1" x="177"/>
        <item h="1" m="1" x="127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24"/>
        <item h="1" m="1" x="134"/>
        <item h="1" m="1" x="220"/>
        <item h="1" m="1" x="155"/>
        <item h="1" m="1" x="215"/>
        <item h="1" x="48"/>
        <item h="1" x="54"/>
        <item h="1" m="1" x="197"/>
        <item h="1" x="51"/>
        <item h="1" m="1" x="165"/>
        <item h="1" m="1" x="173"/>
        <item h="1" m="1" x="141"/>
        <item h="1" m="1" x="104"/>
        <item h="1" m="1" x="120"/>
        <item h="1" m="1" x="138"/>
        <item h="1" m="1" x="140"/>
        <item h="1" x="66"/>
        <item h="1" m="1" x="143"/>
        <item h="1" m="1" x="145"/>
        <item h="1" x="1"/>
        <item h="1" x="41"/>
        <item t="default"/>
      </items>
    </pivotField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sd="0" x="7"/>
        <item h="1" sd="0" x="15"/>
        <item h="1" sd="0" x="18"/>
        <item sd="0" m="1" x="26"/>
        <item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dataField="1" numFmtId="44" showAll="0"/>
    <pivotField numFmtId="10" showAll="0"/>
    <pivotField numFmtId="44" showAll="0"/>
    <pivotField numFmtId="44" showAll="0"/>
    <pivotField numFmtId="44" showAll="0"/>
    <pivotField numFmtId="9" showAll="0"/>
  </pivotFields>
  <rowFields count="1">
    <field x="6"/>
  </rowFields>
  <rowItems count="3">
    <i>
      <x v="140"/>
    </i>
    <i>
      <x v="264"/>
    </i>
    <i t="grand">
      <x/>
    </i>
  </rowItems>
  <colItems count="1">
    <i/>
  </colItems>
  <pageFields count="2">
    <pageField fld="0" hier="-1"/>
    <pageField fld="2" hier="-1"/>
  </pageFields>
  <dataFields count="1">
    <dataField name="Somma di TOT. IMP." fld="8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138C3-1106-4DC1-A2BF-838D9BE0120D}" name="Pivot_Prod_Qta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8">
  <location ref="A4:B7" firstHeaderRow="1" firstDataRow="1" firstDataCol="1" rowPageCount="2" colPageCount="1"/>
  <pivotFields count="14">
    <pivotField axis="axisPage" multipleItemSelectionAllowed="1" showAll="0">
      <items count="389">
        <item m="1" x="163"/>
        <item m="1" x="194"/>
        <item m="1" x="189"/>
        <item m="1" x="148"/>
        <item x="12"/>
        <item x="20"/>
        <item m="1" x="372"/>
        <item x="13"/>
        <item m="1" x="79"/>
        <item m="1" x="371"/>
        <item x="21"/>
        <item x="16"/>
        <item m="1" x="248"/>
        <item m="1" x="97"/>
        <item x="36"/>
        <item m="1" x="122"/>
        <item m="1" x="271"/>
        <item x="49"/>
        <item m="1" x="373"/>
        <item m="1" x="167"/>
        <item m="1" x="86"/>
        <item m="1" x="85"/>
        <item m="1" x="312"/>
        <item m="1" x="242"/>
        <item m="1" x="247"/>
        <item m="1" x="274"/>
        <item m="1" x="320"/>
        <item m="1" x="273"/>
        <item m="1" x="171"/>
        <item m="1" x="168"/>
        <item m="1" x="280"/>
        <item x="34"/>
        <item m="1" x="367"/>
        <item m="1" x="369"/>
        <item m="1" x="368"/>
        <item m="1" x="321"/>
        <item m="1" x="310"/>
        <item m="1" x="319"/>
        <item m="1" x="156"/>
        <item m="1" x="376"/>
        <item m="1" x="358"/>
        <item m="1" x="353"/>
        <item m="1" x="360"/>
        <item m="1" x="352"/>
        <item m="1" x="354"/>
        <item m="1" x="375"/>
        <item m="1" x="362"/>
        <item m="1" x="176"/>
        <item x="32"/>
        <item m="1" x="336"/>
        <item x="60"/>
        <item m="1" x="154"/>
        <item x="4"/>
        <item x="11"/>
        <item m="1" x="77"/>
        <item m="1" x="212"/>
        <item x="7"/>
        <item m="1" x="296"/>
        <item x="5"/>
        <item m="1" x="295"/>
        <item m="1" x="304"/>
        <item m="1" x="298"/>
        <item x="40"/>
        <item m="1" x="226"/>
        <item x="44"/>
        <item m="1" x="115"/>
        <item m="1" x="257"/>
        <item m="1" x="113"/>
        <item m="1" x="114"/>
        <item x="43"/>
        <item m="1" x="117"/>
        <item m="1" x="175"/>
        <item m="1" x="178"/>
        <item m="1" x="119"/>
        <item m="1" x="359"/>
        <item m="1" x="116"/>
        <item x="42"/>
        <item x="46"/>
        <item x="25"/>
        <item m="1" x="190"/>
        <item x="2"/>
        <item m="1" x="223"/>
        <item m="1" x="74"/>
        <item m="1" x="306"/>
        <item x="63"/>
        <item m="1" x="150"/>
        <item m="1" x="326"/>
        <item m="1" x="93"/>
        <item x="29"/>
        <item m="1" x="323"/>
        <item m="1" x="153"/>
        <item m="1" x="84"/>
        <item m="1" x="135"/>
        <item m="1" x="315"/>
        <item m="1" x="266"/>
        <item m="1" x="331"/>
        <item m="1" x="318"/>
        <item m="1" x="161"/>
        <item m="1" x="308"/>
        <item m="1" x="302"/>
        <item m="1" x="307"/>
        <item x="17"/>
        <item x="14"/>
        <item m="1" x="174"/>
        <item m="1" x="107"/>
        <item x="22"/>
        <item m="1" x="265"/>
        <item h="1" x="0"/>
        <item m="1" x="327"/>
        <item m="1" x="206"/>
        <item x="57"/>
        <item x="64"/>
        <item x="56"/>
        <item m="1" x="380"/>
        <item m="1" x="301"/>
        <item m="1" x="187"/>
        <item m="1" x="332"/>
        <item m="1" x="329"/>
        <item m="1" x="199"/>
        <item m="1" x="287"/>
        <item x="35"/>
        <item m="1" x="387"/>
        <item m="1" x="339"/>
        <item m="1" x="139"/>
        <item m="1" x="275"/>
        <item m="1" x="219"/>
        <item m="1" x="205"/>
        <item m="1" x="181"/>
        <item m="1" x="169"/>
        <item m="1" x="222"/>
        <item m="1" x="73"/>
        <item m="1" x="366"/>
        <item x="18"/>
        <item m="1" x="330"/>
        <item m="1" x="128"/>
        <item m="1" x="179"/>
        <item m="1" x="132"/>
        <item m="1" x="311"/>
        <item m="1" x="284"/>
        <item m="1" x="109"/>
        <item x="37"/>
        <item m="1" x="106"/>
        <item m="1" x="350"/>
        <item m="1" x="108"/>
        <item m="1" x="313"/>
        <item m="1" x="198"/>
        <item x="8"/>
        <item m="1" x="196"/>
        <item x="6"/>
        <item m="1" x="309"/>
        <item m="1" x="303"/>
        <item m="1" x="346"/>
        <item m="1" x="378"/>
        <item m="1" x="216"/>
        <item m="1" x="105"/>
        <item m="1" x="217"/>
        <item m="1" x="157"/>
        <item m="1" x="300"/>
        <item m="1" x="379"/>
        <item m="1" x="129"/>
        <item m="1" x="382"/>
        <item m="1" x="341"/>
        <item m="1" x="276"/>
        <item m="1" x="91"/>
        <item x="27"/>
        <item m="1" x="102"/>
        <item m="1" x="381"/>
        <item m="1" x="325"/>
        <item x="62"/>
        <item m="1" x="384"/>
        <item m="1" x="383"/>
        <item m="1" x="172"/>
        <item m="1" x="170"/>
        <item m="1" x="210"/>
        <item m="1" x="201"/>
        <item m="1" x="203"/>
        <item m="1" x="345"/>
        <item m="1" x="72"/>
        <item m="1" x="195"/>
        <item m="1" x="208"/>
        <item m="1" x="244"/>
        <item x="31"/>
        <item m="1" x="96"/>
        <item m="1" x="335"/>
        <item m="1" x="305"/>
        <item m="1" x="343"/>
        <item m="1" x="277"/>
        <item m="1" x="191"/>
        <item m="1" x="281"/>
        <item x="69"/>
        <item m="1" x="149"/>
        <item m="1" x="162"/>
        <item m="1" x="356"/>
        <item m="1" x="94"/>
        <item m="1" x="246"/>
        <item m="1" x="322"/>
        <item m="1" x="253"/>
        <item m="1" x="260"/>
        <item m="1" x="337"/>
        <item x="9"/>
        <item m="1" x="334"/>
        <item x="33"/>
        <item m="1" x="282"/>
        <item m="1" x="158"/>
        <item m="1" x="95"/>
        <item m="1" x="192"/>
        <item m="1" x="286"/>
        <item m="1" x="211"/>
        <item m="1" x="385"/>
        <item m="1" x="386"/>
        <item x="67"/>
        <item x="24"/>
        <item m="1" x="364"/>
        <item m="1" x="285"/>
        <item m="1" x="118"/>
        <item m="1" x="229"/>
        <item x="68"/>
        <item m="1" x="361"/>
        <item m="1" x="124"/>
        <item m="1" x="363"/>
        <item m="1" x="147"/>
        <item m="1" x="243"/>
        <item m="1" x="180"/>
        <item m="1" x="259"/>
        <item m="1" x="152"/>
        <item x="3"/>
        <item m="1" x="297"/>
        <item m="1" x="184"/>
        <item x="61"/>
        <item m="1" x="256"/>
        <item m="1" x="160"/>
        <item m="1" x="377"/>
        <item m="1" x="183"/>
        <item x="50"/>
        <item m="1" x="209"/>
        <item m="1" x="204"/>
        <item m="1" x="159"/>
        <item m="1" x="374"/>
        <item m="1" x="227"/>
        <item m="1" x="333"/>
        <item m="1" x="164"/>
        <item m="1" x="137"/>
        <item m="1" x="136"/>
        <item x="53"/>
        <item m="1" x="218"/>
        <item m="1" x="123"/>
        <item m="1" x="131"/>
        <item x="52"/>
        <item m="1" x="188"/>
        <item m="1" x="347"/>
        <item m="1" x="111"/>
        <item x="70"/>
        <item m="1" x="294"/>
        <item m="1" x="146"/>
        <item m="1" x="200"/>
        <item m="1" x="365"/>
        <item m="1" x="214"/>
        <item m="1" x="357"/>
        <item m="1" x="344"/>
        <item m="1" x="267"/>
        <item m="1" x="261"/>
        <item x="55"/>
        <item h="1" x="71"/>
        <item m="1" x="207"/>
        <item m="1" x="202"/>
        <item x="38"/>
        <item x="28"/>
        <item m="1" x="88"/>
        <item m="1" x="324"/>
        <item x="26"/>
        <item x="30"/>
        <item m="1" x="89"/>
        <item m="1" x="92"/>
        <item m="1" x="90"/>
        <item x="15"/>
        <item x="19"/>
        <item x="23"/>
        <item m="1" x="87"/>
        <item m="1" x="245"/>
        <item m="1" x="269"/>
        <item m="1" x="130"/>
        <item m="1" x="81"/>
        <item m="1" x="80"/>
        <item m="1" x="317"/>
        <item m="1" x="314"/>
        <item m="1" x="82"/>
        <item m="1" x="268"/>
        <item x="58"/>
        <item m="1" x="126"/>
        <item m="1" x="125"/>
        <item m="1" x="355"/>
        <item m="1" x="99"/>
        <item m="1" x="100"/>
        <item m="1" x="342"/>
        <item m="1" x="103"/>
        <item m="1" x="101"/>
        <item m="1" x="151"/>
        <item m="1" x="75"/>
        <item m="1" x="83"/>
        <item m="1" x="78"/>
        <item m="1" x="316"/>
        <item x="65"/>
        <item m="1" x="76"/>
        <item m="1" x="121"/>
        <item m="1" x="166"/>
        <item m="1" x="221"/>
        <item x="47"/>
        <item m="1" x="328"/>
        <item m="1" x="338"/>
        <item m="1" x="185"/>
        <item m="1" x="370"/>
        <item m="1" x="351"/>
        <item m="1" x="288"/>
        <item m="1" x="110"/>
        <item m="1" x="349"/>
        <item m="1" x="348"/>
        <item m="1" x="278"/>
        <item m="1" x="340"/>
        <item h="1" x="10"/>
        <item h="1" m="1" x="292"/>
        <item h="1" m="1" x="133"/>
        <item h="1" m="1" x="299"/>
        <item h="1" m="1" x="255"/>
        <item h="1" m="1" x="213"/>
        <item h="1" m="1" x="262"/>
        <item h="1" m="1" x="263"/>
        <item h="1" m="1" x="290"/>
        <item h="1" m="1" x="252"/>
        <item h="1" m="1" x="182"/>
        <item h="1" m="1" x="293"/>
        <item h="1" m="1" x="264"/>
        <item h="1" x="59"/>
        <item h="1" m="1" x="144"/>
        <item h="1" m="1" x="254"/>
        <item h="1" m="1" x="270"/>
        <item h="1" m="1" x="272"/>
        <item h="1" m="1" x="98"/>
        <item h="1" m="1" x="249"/>
        <item h="1" m="1" x="279"/>
        <item h="1" m="1" x="283"/>
        <item h="1" x="39"/>
        <item h="1" m="1" x="112"/>
        <item h="1" m="1" x="289"/>
        <item h="1" m="1" x="225"/>
        <item h="1" m="1" x="291"/>
        <item h="1" x="45"/>
        <item h="1" m="1" x="142"/>
        <item h="1" m="1" x="228"/>
        <item h="1" m="1" x="258"/>
        <item h="1" m="1" x="186"/>
        <item h="1" m="1" x="193"/>
        <item h="1" m="1" x="250"/>
        <item h="1" m="1" x="251"/>
        <item h="1" m="1" x="177"/>
        <item h="1" m="1" x="127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24"/>
        <item h="1" m="1" x="134"/>
        <item h="1" m="1" x="220"/>
        <item h="1" m="1" x="155"/>
        <item h="1" m="1" x="215"/>
        <item h="1" x="48"/>
        <item h="1" x="54"/>
        <item h="1" m="1" x="197"/>
        <item h="1" x="51"/>
        <item h="1" m="1" x="165"/>
        <item h="1" m="1" x="173"/>
        <item h="1" m="1" x="141"/>
        <item h="1" m="1" x="104"/>
        <item h="1" m="1" x="120"/>
        <item h="1" m="1" x="138"/>
        <item h="1" m="1" x="140"/>
        <item h="1" x="66"/>
        <item h="1" m="1" x="143"/>
        <item h="1" m="1" x="145"/>
        <item h="1" x="1"/>
        <item h="1" x="41"/>
        <item t="default"/>
      </items>
    </pivotField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dataField="1"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numFmtId="9" showAll="0"/>
  </pivotFields>
  <rowFields count="1">
    <field x="6"/>
  </rowFields>
  <rowItems count="3">
    <i>
      <x v="243"/>
    </i>
    <i>
      <x v="247"/>
    </i>
    <i t="grand">
      <x/>
    </i>
  </rowItems>
  <colItems count="1">
    <i/>
  </colItems>
  <pageFields count="2">
    <pageField fld="0" hier="-1"/>
    <pageField fld="2" hier="-1"/>
  </pageFields>
  <dataFields count="1">
    <dataField name="Somma di QUANTITA'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3D13F-A71A-459F-A6AA-2CF9C53F9293}" name="Pivot_Prod_Qta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3">
  <location ref="A4:B9" firstHeaderRow="1" firstDataRow="1" firstDataCol="1" rowPageCount="2" colPageCount="1"/>
  <pivotFields count="14">
    <pivotField axis="axisPage" multipleItemSelectionAllowed="1" showAll="0">
      <items count="389">
        <item m="1" x="163"/>
        <item m="1" x="194"/>
        <item m="1" x="189"/>
        <item m="1" x="148"/>
        <item x="12"/>
        <item x="20"/>
        <item m="1" x="372"/>
        <item x="13"/>
        <item m="1" x="79"/>
        <item m="1" x="371"/>
        <item x="21"/>
        <item x="16"/>
        <item m="1" x="248"/>
        <item m="1" x="97"/>
        <item x="36"/>
        <item m="1" x="122"/>
        <item m="1" x="271"/>
        <item x="49"/>
        <item m="1" x="373"/>
        <item m="1" x="167"/>
        <item m="1" x="86"/>
        <item m="1" x="85"/>
        <item m="1" x="312"/>
        <item m="1" x="242"/>
        <item m="1" x="247"/>
        <item m="1" x="274"/>
        <item m="1" x="320"/>
        <item m="1" x="273"/>
        <item m="1" x="171"/>
        <item m="1" x="168"/>
        <item m="1" x="280"/>
        <item x="34"/>
        <item m="1" x="367"/>
        <item m="1" x="369"/>
        <item m="1" x="368"/>
        <item m="1" x="321"/>
        <item m="1" x="310"/>
        <item m="1" x="319"/>
        <item m="1" x="156"/>
        <item m="1" x="376"/>
        <item m="1" x="358"/>
        <item m="1" x="353"/>
        <item m="1" x="360"/>
        <item m="1" x="352"/>
        <item m="1" x="354"/>
        <item m="1" x="375"/>
        <item m="1" x="362"/>
        <item m="1" x="176"/>
        <item x="32"/>
        <item m="1" x="336"/>
        <item x="60"/>
        <item m="1" x="154"/>
        <item x="4"/>
        <item x="11"/>
        <item m="1" x="77"/>
        <item m="1" x="212"/>
        <item x="7"/>
        <item m="1" x="296"/>
        <item x="5"/>
        <item m="1" x="295"/>
        <item m="1" x="304"/>
        <item m="1" x="298"/>
        <item x="40"/>
        <item m="1" x="226"/>
        <item x="44"/>
        <item m="1" x="115"/>
        <item m="1" x="257"/>
        <item m="1" x="113"/>
        <item m="1" x="114"/>
        <item x="43"/>
        <item m="1" x="117"/>
        <item m="1" x="175"/>
        <item m="1" x="178"/>
        <item m="1" x="119"/>
        <item m="1" x="359"/>
        <item m="1" x="116"/>
        <item x="42"/>
        <item x="46"/>
        <item x="25"/>
        <item m="1" x="190"/>
        <item x="2"/>
        <item m="1" x="223"/>
        <item m="1" x="74"/>
        <item m="1" x="306"/>
        <item x="63"/>
        <item m="1" x="150"/>
        <item m="1" x="326"/>
        <item m="1" x="93"/>
        <item x="29"/>
        <item m="1" x="323"/>
        <item m="1" x="153"/>
        <item m="1" x="84"/>
        <item m="1" x="135"/>
        <item m="1" x="315"/>
        <item m="1" x="266"/>
        <item m="1" x="331"/>
        <item m="1" x="318"/>
        <item m="1" x="161"/>
        <item m="1" x="308"/>
        <item m="1" x="302"/>
        <item m="1" x="307"/>
        <item x="17"/>
        <item x="14"/>
        <item m="1" x="174"/>
        <item m="1" x="107"/>
        <item x="22"/>
        <item m="1" x="265"/>
        <item h="1" x="0"/>
        <item m="1" x="327"/>
        <item m="1" x="206"/>
        <item x="57"/>
        <item x="64"/>
        <item x="56"/>
        <item m="1" x="380"/>
        <item m="1" x="301"/>
        <item m="1" x="187"/>
        <item m="1" x="332"/>
        <item m="1" x="329"/>
        <item m="1" x="199"/>
        <item m="1" x="287"/>
        <item x="35"/>
        <item m="1" x="387"/>
        <item m="1" x="339"/>
        <item m="1" x="139"/>
        <item m="1" x="275"/>
        <item m="1" x="219"/>
        <item m="1" x="205"/>
        <item m="1" x="181"/>
        <item m="1" x="169"/>
        <item m="1" x="222"/>
        <item m="1" x="73"/>
        <item m="1" x="366"/>
        <item x="18"/>
        <item m="1" x="330"/>
        <item m="1" x="128"/>
        <item m="1" x="179"/>
        <item m="1" x="132"/>
        <item m="1" x="311"/>
        <item m="1" x="284"/>
        <item m="1" x="109"/>
        <item x="37"/>
        <item m="1" x="106"/>
        <item m="1" x="350"/>
        <item m="1" x="108"/>
        <item m="1" x="313"/>
        <item m="1" x="198"/>
        <item x="8"/>
        <item m="1" x="196"/>
        <item x="6"/>
        <item m="1" x="309"/>
        <item m="1" x="303"/>
        <item m="1" x="346"/>
        <item m="1" x="378"/>
        <item m="1" x="216"/>
        <item m="1" x="105"/>
        <item m="1" x="217"/>
        <item m="1" x="157"/>
        <item m="1" x="300"/>
        <item m="1" x="379"/>
        <item m="1" x="129"/>
        <item m="1" x="382"/>
        <item m="1" x="341"/>
        <item m="1" x="276"/>
        <item m="1" x="91"/>
        <item x="27"/>
        <item m="1" x="102"/>
        <item m="1" x="381"/>
        <item m="1" x="325"/>
        <item x="62"/>
        <item m="1" x="384"/>
        <item m="1" x="383"/>
        <item m="1" x="172"/>
        <item m="1" x="170"/>
        <item m="1" x="210"/>
        <item m="1" x="201"/>
        <item m="1" x="203"/>
        <item m="1" x="345"/>
        <item m="1" x="72"/>
        <item m="1" x="195"/>
        <item m="1" x="208"/>
        <item m="1" x="244"/>
        <item x="31"/>
        <item m="1" x="96"/>
        <item m="1" x="335"/>
        <item m="1" x="305"/>
        <item m="1" x="343"/>
        <item m="1" x="277"/>
        <item m="1" x="191"/>
        <item m="1" x="281"/>
        <item x="69"/>
        <item m="1" x="149"/>
        <item m="1" x="162"/>
        <item m="1" x="356"/>
        <item m="1" x="94"/>
        <item m="1" x="246"/>
        <item m="1" x="322"/>
        <item m="1" x="253"/>
        <item m="1" x="260"/>
        <item m="1" x="337"/>
        <item x="9"/>
        <item m="1" x="334"/>
        <item x="33"/>
        <item m="1" x="282"/>
        <item m="1" x="158"/>
        <item m="1" x="95"/>
        <item m="1" x="192"/>
        <item m="1" x="286"/>
        <item m="1" x="211"/>
        <item m="1" x="385"/>
        <item m="1" x="386"/>
        <item x="67"/>
        <item x="24"/>
        <item m="1" x="364"/>
        <item m="1" x="285"/>
        <item m="1" x="118"/>
        <item m="1" x="229"/>
        <item x="68"/>
        <item m="1" x="361"/>
        <item m="1" x="124"/>
        <item m="1" x="363"/>
        <item m="1" x="147"/>
        <item m="1" x="243"/>
        <item m="1" x="180"/>
        <item m="1" x="259"/>
        <item m="1" x="152"/>
        <item x="3"/>
        <item m="1" x="297"/>
        <item m="1" x="184"/>
        <item x="61"/>
        <item m="1" x="256"/>
        <item m="1" x="160"/>
        <item m="1" x="377"/>
        <item m="1" x="183"/>
        <item x="50"/>
        <item m="1" x="209"/>
        <item m="1" x="204"/>
        <item m="1" x="159"/>
        <item m="1" x="374"/>
        <item m="1" x="227"/>
        <item m="1" x="333"/>
        <item m="1" x="164"/>
        <item m="1" x="137"/>
        <item m="1" x="136"/>
        <item x="53"/>
        <item m="1" x="218"/>
        <item m="1" x="123"/>
        <item m="1" x="131"/>
        <item x="52"/>
        <item m="1" x="188"/>
        <item m="1" x="347"/>
        <item m="1" x="111"/>
        <item x="70"/>
        <item m="1" x="294"/>
        <item m="1" x="146"/>
        <item m="1" x="200"/>
        <item m="1" x="365"/>
        <item m="1" x="214"/>
        <item m="1" x="357"/>
        <item m="1" x="344"/>
        <item m="1" x="267"/>
        <item m="1" x="261"/>
        <item x="55"/>
        <item h="1" x="71"/>
        <item m="1" x="207"/>
        <item m="1" x="202"/>
        <item x="38"/>
        <item x="28"/>
        <item m="1" x="88"/>
        <item m="1" x="324"/>
        <item x="26"/>
        <item x="30"/>
        <item m="1" x="89"/>
        <item m="1" x="92"/>
        <item m="1" x="90"/>
        <item x="15"/>
        <item x="19"/>
        <item x="23"/>
        <item m="1" x="87"/>
        <item m="1" x="245"/>
        <item m="1" x="269"/>
        <item m="1" x="130"/>
        <item m="1" x="81"/>
        <item m="1" x="80"/>
        <item m="1" x="317"/>
        <item m="1" x="314"/>
        <item m="1" x="82"/>
        <item m="1" x="268"/>
        <item x="58"/>
        <item m="1" x="126"/>
        <item m="1" x="125"/>
        <item m="1" x="355"/>
        <item m="1" x="99"/>
        <item m="1" x="100"/>
        <item m="1" x="342"/>
        <item m="1" x="103"/>
        <item m="1" x="101"/>
        <item m="1" x="151"/>
        <item m="1" x="75"/>
        <item m="1" x="83"/>
        <item m="1" x="78"/>
        <item m="1" x="316"/>
        <item x="65"/>
        <item m="1" x="76"/>
        <item m="1" x="121"/>
        <item m="1" x="166"/>
        <item m="1" x="221"/>
        <item x="47"/>
        <item m="1" x="328"/>
        <item m="1" x="338"/>
        <item m="1" x="185"/>
        <item m="1" x="370"/>
        <item m="1" x="351"/>
        <item m="1" x="288"/>
        <item m="1" x="110"/>
        <item m="1" x="349"/>
        <item m="1" x="348"/>
        <item m="1" x="278"/>
        <item m="1" x="340"/>
        <item h="1" x="10"/>
        <item h="1" m="1" x="292"/>
        <item h="1" m="1" x="133"/>
        <item h="1" m="1" x="299"/>
        <item h="1" m="1" x="255"/>
        <item h="1" m="1" x="213"/>
        <item h="1" m="1" x="262"/>
        <item h="1" m="1" x="263"/>
        <item h="1" m="1" x="290"/>
        <item h="1" m="1" x="252"/>
        <item h="1" m="1" x="182"/>
        <item h="1" m="1" x="293"/>
        <item h="1" m="1" x="264"/>
        <item h="1" x="59"/>
        <item h="1" m="1" x="144"/>
        <item h="1" m="1" x="254"/>
        <item h="1" m="1" x="270"/>
        <item h="1" m="1" x="272"/>
        <item h="1" m="1" x="98"/>
        <item h="1" m="1" x="249"/>
        <item h="1" m="1" x="279"/>
        <item h="1" m="1" x="283"/>
        <item h="1" x="39"/>
        <item h="1" m="1" x="112"/>
        <item h="1" m="1" x="289"/>
        <item h="1" m="1" x="225"/>
        <item h="1" m="1" x="291"/>
        <item h="1" x="45"/>
        <item h="1" m="1" x="142"/>
        <item h="1" m="1" x="228"/>
        <item h="1" m="1" x="258"/>
        <item h="1" m="1" x="186"/>
        <item h="1" m="1" x="193"/>
        <item h="1" m="1" x="250"/>
        <item h="1" m="1" x="251"/>
        <item h="1" m="1" x="177"/>
        <item h="1" m="1" x="127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24"/>
        <item h="1" m="1" x="134"/>
        <item h="1" m="1" x="220"/>
        <item h="1" m="1" x="155"/>
        <item h="1" m="1" x="215"/>
        <item h="1" x="48"/>
        <item h="1" x="54"/>
        <item h="1" m="1" x="197"/>
        <item h="1" x="51"/>
        <item h="1" m="1" x="165"/>
        <item h="1" m="1" x="173"/>
        <item h="1" m="1" x="141"/>
        <item h="1" m="1" x="104"/>
        <item h="1" m="1" x="120"/>
        <item h="1" m="1" x="138"/>
        <item h="1" m="1" x="140"/>
        <item h="1" x="66"/>
        <item h="1" m="1" x="143"/>
        <item h="1" m="1" x="145"/>
        <item h="1" x="1"/>
        <item h="1" x="41"/>
        <item t="default"/>
      </items>
    </pivotField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dataField="1"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numFmtId="9" showAll="0"/>
  </pivotFields>
  <rowFields count="1">
    <field x="6"/>
  </rowFields>
  <rowItems count="5">
    <i>
      <x v="110"/>
    </i>
    <i>
      <x v="112"/>
    </i>
    <i>
      <x v="261"/>
    </i>
    <i>
      <x v="286"/>
    </i>
    <i t="grand">
      <x/>
    </i>
  </rowItems>
  <colItems count="1">
    <i/>
  </colItems>
  <pageFields count="2">
    <pageField fld="0" hier="-1"/>
    <pageField fld="2" hier="-1"/>
  </pageFields>
  <dataFields count="1">
    <dataField name="Somma di QUANTITA'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F9A50-67FF-4429-8C9A-F9ACA67EDA2F}" name="Pivot_Prod_Qta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9">
  <location ref="A4:B9" firstHeaderRow="1" firstDataRow="1" firstDataCol="1" rowPageCount="2" colPageCount="1"/>
  <pivotFields count="14">
    <pivotField axis="axisPage" multipleItemSelectionAllowed="1" showAll="0">
      <items count="389">
        <item m="1" x="163"/>
        <item m="1" x="194"/>
        <item m="1" x="189"/>
        <item m="1" x="148"/>
        <item x="12"/>
        <item x="20"/>
        <item m="1" x="372"/>
        <item x="13"/>
        <item m="1" x="79"/>
        <item m="1" x="371"/>
        <item x="21"/>
        <item x="16"/>
        <item m="1" x="248"/>
        <item m="1" x="97"/>
        <item x="36"/>
        <item m="1" x="122"/>
        <item m="1" x="271"/>
        <item x="49"/>
        <item m="1" x="373"/>
        <item m="1" x="167"/>
        <item m="1" x="86"/>
        <item m="1" x="85"/>
        <item m="1" x="312"/>
        <item m="1" x="242"/>
        <item m="1" x="247"/>
        <item m="1" x="274"/>
        <item m="1" x="320"/>
        <item m="1" x="273"/>
        <item m="1" x="171"/>
        <item m="1" x="168"/>
        <item m="1" x="280"/>
        <item x="34"/>
        <item m="1" x="367"/>
        <item m="1" x="369"/>
        <item m="1" x="368"/>
        <item m="1" x="321"/>
        <item m="1" x="310"/>
        <item m="1" x="319"/>
        <item m="1" x="156"/>
        <item m="1" x="376"/>
        <item m="1" x="358"/>
        <item m="1" x="353"/>
        <item m="1" x="360"/>
        <item m="1" x="352"/>
        <item m="1" x="354"/>
        <item m="1" x="375"/>
        <item m="1" x="362"/>
        <item m="1" x="176"/>
        <item x="32"/>
        <item m="1" x="336"/>
        <item x="60"/>
        <item m="1" x="154"/>
        <item x="4"/>
        <item x="11"/>
        <item m="1" x="77"/>
        <item m="1" x="212"/>
        <item x="7"/>
        <item m="1" x="296"/>
        <item x="5"/>
        <item m="1" x="295"/>
        <item m="1" x="304"/>
        <item m="1" x="298"/>
        <item x="40"/>
        <item m="1" x="226"/>
        <item x="44"/>
        <item m="1" x="115"/>
        <item m="1" x="257"/>
        <item m="1" x="113"/>
        <item m="1" x="114"/>
        <item x="43"/>
        <item m="1" x="117"/>
        <item m="1" x="175"/>
        <item m="1" x="178"/>
        <item m="1" x="119"/>
        <item m="1" x="359"/>
        <item m="1" x="116"/>
        <item x="42"/>
        <item x="46"/>
        <item x="25"/>
        <item m="1" x="190"/>
        <item x="2"/>
        <item m="1" x="223"/>
        <item m="1" x="74"/>
        <item m="1" x="306"/>
        <item x="63"/>
        <item m="1" x="150"/>
        <item m="1" x="326"/>
        <item m="1" x="93"/>
        <item x="29"/>
        <item m="1" x="323"/>
        <item m="1" x="153"/>
        <item m="1" x="84"/>
        <item m="1" x="135"/>
        <item m="1" x="315"/>
        <item m="1" x="266"/>
        <item m="1" x="331"/>
        <item m="1" x="318"/>
        <item m="1" x="161"/>
        <item m="1" x="308"/>
        <item m="1" x="302"/>
        <item m="1" x="307"/>
        <item x="17"/>
        <item x="14"/>
        <item m="1" x="174"/>
        <item m="1" x="107"/>
        <item x="22"/>
        <item m="1" x="265"/>
        <item h="1" x="0"/>
        <item m="1" x="327"/>
        <item m="1" x="206"/>
        <item x="57"/>
        <item x="64"/>
        <item x="56"/>
        <item m="1" x="380"/>
        <item m="1" x="301"/>
        <item m="1" x="187"/>
        <item m="1" x="332"/>
        <item m="1" x="329"/>
        <item m="1" x="199"/>
        <item m="1" x="287"/>
        <item x="35"/>
        <item m="1" x="387"/>
        <item m="1" x="339"/>
        <item m="1" x="139"/>
        <item m="1" x="275"/>
        <item m="1" x="219"/>
        <item m="1" x="205"/>
        <item m="1" x="181"/>
        <item m="1" x="169"/>
        <item m="1" x="222"/>
        <item m="1" x="73"/>
        <item m="1" x="366"/>
        <item x="18"/>
        <item m="1" x="330"/>
        <item m="1" x="128"/>
        <item m="1" x="179"/>
        <item m="1" x="132"/>
        <item m="1" x="311"/>
        <item m="1" x="284"/>
        <item m="1" x="109"/>
        <item x="37"/>
        <item m="1" x="106"/>
        <item m="1" x="350"/>
        <item m="1" x="108"/>
        <item m="1" x="313"/>
        <item m="1" x="198"/>
        <item x="8"/>
        <item m="1" x="196"/>
        <item x="6"/>
        <item m="1" x="309"/>
        <item m="1" x="303"/>
        <item m="1" x="346"/>
        <item m="1" x="378"/>
        <item m="1" x="216"/>
        <item m="1" x="105"/>
        <item m="1" x="217"/>
        <item m="1" x="157"/>
        <item m="1" x="300"/>
        <item m="1" x="379"/>
        <item m="1" x="129"/>
        <item m="1" x="382"/>
        <item m="1" x="341"/>
        <item m="1" x="276"/>
        <item m="1" x="91"/>
        <item x="27"/>
        <item m="1" x="102"/>
        <item m="1" x="381"/>
        <item m="1" x="325"/>
        <item x="62"/>
        <item m="1" x="384"/>
        <item m="1" x="383"/>
        <item m="1" x="172"/>
        <item m="1" x="170"/>
        <item m="1" x="210"/>
        <item m="1" x="201"/>
        <item m="1" x="203"/>
        <item m="1" x="345"/>
        <item m="1" x="72"/>
        <item m="1" x="195"/>
        <item m="1" x="208"/>
        <item m="1" x="244"/>
        <item x="31"/>
        <item m="1" x="96"/>
        <item m="1" x="335"/>
        <item m="1" x="305"/>
        <item m="1" x="343"/>
        <item m="1" x="277"/>
        <item m="1" x="191"/>
        <item m="1" x="281"/>
        <item x="69"/>
        <item m="1" x="149"/>
        <item m="1" x="162"/>
        <item m="1" x="356"/>
        <item m="1" x="94"/>
        <item m="1" x="246"/>
        <item m="1" x="322"/>
        <item m="1" x="253"/>
        <item m="1" x="260"/>
        <item m="1" x="337"/>
        <item x="9"/>
        <item m="1" x="334"/>
        <item x="33"/>
        <item m="1" x="282"/>
        <item m="1" x="158"/>
        <item m="1" x="95"/>
        <item m="1" x="192"/>
        <item m="1" x="286"/>
        <item m="1" x="211"/>
        <item m="1" x="385"/>
        <item m="1" x="386"/>
        <item x="67"/>
        <item x="24"/>
        <item m="1" x="364"/>
        <item m="1" x="285"/>
        <item m="1" x="118"/>
        <item m="1" x="229"/>
        <item x="68"/>
        <item m="1" x="361"/>
        <item m="1" x="124"/>
        <item m="1" x="363"/>
        <item m="1" x="147"/>
        <item m="1" x="243"/>
        <item m="1" x="180"/>
        <item m="1" x="259"/>
        <item m="1" x="152"/>
        <item x="3"/>
        <item m="1" x="297"/>
        <item m="1" x="184"/>
        <item x="61"/>
        <item m="1" x="256"/>
        <item m="1" x="160"/>
        <item m="1" x="377"/>
        <item m="1" x="183"/>
        <item x="50"/>
        <item m="1" x="209"/>
        <item m="1" x="204"/>
        <item m="1" x="159"/>
        <item m="1" x="374"/>
        <item m="1" x="227"/>
        <item m="1" x="333"/>
        <item m="1" x="164"/>
        <item m="1" x="137"/>
        <item m="1" x="136"/>
        <item x="53"/>
        <item m="1" x="218"/>
        <item m="1" x="123"/>
        <item m="1" x="131"/>
        <item x="52"/>
        <item m="1" x="188"/>
        <item m="1" x="347"/>
        <item m="1" x="111"/>
        <item x="70"/>
        <item m="1" x="294"/>
        <item m="1" x="146"/>
        <item m="1" x="200"/>
        <item m="1" x="365"/>
        <item m="1" x="214"/>
        <item m="1" x="357"/>
        <item m="1" x="344"/>
        <item m="1" x="267"/>
        <item m="1" x="261"/>
        <item x="55"/>
        <item h="1" x="71"/>
        <item m="1" x="207"/>
        <item m="1" x="202"/>
        <item x="38"/>
        <item x="28"/>
        <item m="1" x="88"/>
        <item m="1" x="324"/>
        <item x="26"/>
        <item x="30"/>
        <item m="1" x="89"/>
        <item m="1" x="92"/>
        <item m="1" x="90"/>
        <item x="15"/>
        <item x="19"/>
        <item x="23"/>
        <item m="1" x="87"/>
        <item m="1" x="245"/>
        <item m="1" x="269"/>
        <item m="1" x="130"/>
        <item m="1" x="81"/>
        <item m="1" x="80"/>
        <item m="1" x="317"/>
        <item m="1" x="314"/>
        <item m="1" x="82"/>
        <item m="1" x="268"/>
        <item x="58"/>
        <item m="1" x="126"/>
        <item m="1" x="125"/>
        <item m="1" x="355"/>
        <item m="1" x="99"/>
        <item m="1" x="100"/>
        <item m="1" x="342"/>
        <item m="1" x="103"/>
        <item m="1" x="101"/>
        <item m="1" x="151"/>
        <item m="1" x="75"/>
        <item m="1" x="83"/>
        <item m="1" x="78"/>
        <item m="1" x="316"/>
        <item x="65"/>
        <item m="1" x="76"/>
        <item m="1" x="121"/>
        <item m="1" x="166"/>
        <item m="1" x="221"/>
        <item x="47"/>
        <item m="1" x="328"/>
        <item m="1" x="338"/>
        <item m="1" x="185"/>
        <item m="1" x="370"/>
        <item m="1" x="351"/>
        <item m="1" x="288"/>
        <item m="1" x="110"/>
        <item m="1" x="349"/>
        <item m="1" x="348"/>
        <item m="1" x="278"/>
        <item m="1" x="340"/>
        <item h="1" x="10"/>
        <item h="1" m="1" x="292"/>
        <item h="1" m="1" x="133"/>
        <item h="1" m="1" x="299"/>
        <item h="1" m="1" x="255"/>
        <item h="1" m="1" x="213"/>
        <item h="1" m="1" x="262"/>
        <item h="1" m="1" x="263"/>
        <item h="1" m="1" x="290"/>
        <item h="1" m="1" x="252"/>
        <item h="1" m="1" x="182"/>
        <item h="1" m="1" x="293"/>
        <item h="1" m="1" x="264"/>
        <item h="1" x="59"/>
        <item h="1" m="1" x="144"/>
        <item h="1" m="1" x="254"/>
        <item h="1" m="1" x="270"/>
        <item h="1" m="1" x="272"/>
        <item h="1" m="1" x="98"/>
        <item h="1" m="1" x="249"/>
        <item h="1" m="1" x="279"/>
        <item h="1" m="1" x="283"/>
        <item h="1" x="39"/>
        <item h="1" m="1" x="112"/>
        <item h="1" m="1" x="289"/>
        <item h="1" m="1" x="225"/>
        <item h="1" m="1" x="291"/>
        <item h="1" x="45"/>
        <item h="1" m="1" x="142"/>
        <item h="1" m="1" x="228"/>
        <item h="1" m="1" x="258"/>
        <item h="1" m="1" x="186"/>
        <item h="1" m="1" x="193"/>
        <item h="1" m="1" x="250"/>
        <item h="1" m="1" x="251"/>
        <item h="1" m="1" x="177"/>
        <item h="1" m="1" x="127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24"/>
        <item h="1" m="1" x="134"/>
        <item h="1" m="1" x="220"/>
        <item h="1" m="1" x="155"/>
        <item h="1" m="1" x="215"/>
        <item h="1" x="48"/>
        <item h="1" x="54"/>
        <item h="1" m="1" x="197"/>
        <item h="1" x="51"/>
        <item h="1" m="1" x="165"/>
        <item h="1" m="1" x="173"/>
        <item h="1" m="1" x="141"/>
        <item h="1" m="1" x="104"/>
        <item h="1" m="1" x="120"/>
        <item h="1" m="1" x="138"/>
        <item h="1" m="1" x="140"/>
        <item h="1" x="66"/>
        <item h="1" m="1" x="143"/>
        <item h="1" m="1" x="145"/>
        <item h="1" x="1"/>
        <item h="1" x="41"/>
        <item t="default"/>
      </items>
    </pivotField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sd="0" x="19"/>
        <item sd="0" x="20"/>
        <item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dataField="1"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numFmtId="9" showAll="0"/>
  </pivotFields>
  <rowFields count="1">
    <field x="6"/>
  </rowFields>
  <rowItems count="5">
    <i>
      <x v="189"/>
    </i>
    <i>
      <x v="210"/>
    </i>
    <i>
      <x v="216"/>
    </i>
    <i>
      <x v="251"/>
    </i>
    <i t="grand">
      <x/>
    </i>
  </rowItems>
  <colItems count="1">
    <i/>
  </colItems>
  <pageFields count="2">
    <pageField fld="0" hier="-1"/>
    <pageField fld="2" hier="-1"/>
  </pageFields>
  <dataFields count="1">
    <dataField name="Somma di QUANTITA'" fld="3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D0FB5A-3BF7-4168-940F-6125427B818E}" name="Pivot_Prod_Qta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2">
  <location ref="A4:B6" firstHeaderRow="1" firstDataRow="1" firstDataCol="1" rowPageCount="2" colPageCount="1"/>
  <pivotFields count="14">
    <pivotField axis="axisPage" multipleItemSelectionAllowed="1" showAll="0">
      <items count="389">
        <item m="1" x="163"/>
        <item m="1" x="194"/>
        <item m="1" x="189"/>
        <item m="1" x="148"/>
        <item x="12"/>
        <item x="20"/>
        <item m="1" x="372"/>
        <item x="13"/>
        <item m="1" x="79"/>
        <item m="1" x="371"/>
        <item x="21"/>
        <item x="16"/>
        <item m="1" x="248"/>
        <item m="1" x="97"/>
        <item x="36"/>
        <item m="1" x="122"/>
        <item m="1" x="271"/>
        <item x="49"/>
        <item m="1" x="373"/>
        <item m="1" x="167"/>
        <item m="1" x="86"/>
        <item m="1" x="85"/>
        <item m="1" x="312"/>
        <item m="1" x="242"/>
        <item m="1" x="247"/>
        <item m="1" x="274"/>
        <item m="1" x="320"/>
        <item m="1" x="273"/>
        <item m="1" x="171"/>
        <item m="1" x="168"/>
        <item m="1" x="280"/>
        <item x="34"/>
        <item m="1" x="367"/>
        <item m="1" x="369"/>
        <item m="1" x="368"/>
        <item m="1" x="321"/>
        <item m="1" x="310"/>
        <item m="1" x="319"/>
        <item m="1" x="156"/>
        <item m="1" x="376"/>
        <item m="1" x="358"/>
        <item m="1" x="353"/>
        <item m="1" x="360"/>
        <item m="1" x="352"/>
        <item m="1" x="354"/>
        <item m="1" x="375"/>
        <item m="1" x="362"/>
        <item m="1" x="176"/>
        <item x="32"/>
        <item m="1" x="336"/>
        <item x="60"/>
        <item m="1" x="154"/>
        <item x="4"/>
        <item x="11"/>
        <item m="1" x="77"/>
        <item m="1" x="212"/>
        <item x="7"/>
        <item m="1" x="296"/>
        <item x="5"/>
        <item m="1" x="295"/>
        <item m="1" x="304"/>
        <item m="1" x="298"/>
        <item x="40"/>
        <item m="1" x="226"/>
        <item x="44"/>
        <item m="1" x="115"/>
        <item m="1" x="257"/>
        <item m="1" x="113"/>
        <item m="1" x="114"/>
        <item x="43"/>
        <item m="1" x="117"/>
        <item m="1" x="175"/>
        <item m="1" x="178"/>
        <item m="1" x="119"/>
        <item m="1" x="359"/>
        <item m="1" x="116"/>
        <item x="42"/>
        <item x="46"/>
        <item x="25"/>
        <item m="1" x="190"/>
        <item x="2"/>
        <item m="1" x="223"/>
        <item m="1" x="74"/>
        <item m="1" x="306"/>
        <item x="63"/>
        <item m="1" x="150"/>
        <item m="1" x="326"/>
        <item m="1" x="93"/>
        <item x="29"/>
        <item m="1" x="323"/>
        <item m="1" x="153"/>
        <item m="1" x="84"/>
        <item m="1" x="135"/>
        <item m="1" x="315"/>
        <item m="1" x="266"/>
        <item m="1" x="331"/>
        <item m="1" x="318"/>
        <item m="1" x="161"/>
        <item m="1" x="308"/>
        <item m="1" x="302"/>
        <item m="1" x="307"/>
        <item x="17"/>
        <item x="14"/>
        <item m="1" x="174"/>
        <item m="1" x="107"/>
        <item x="22"/>
        <item m="1" x="265"/>
        <item h="1" x="0"/>
        <item m="1" x="327"/>
        <item m="1" x="206"/>
        <item x="57"/>
        <item x="64"/>
        <item x="56"/>
        <item m="1" x="380"/>
        <item m="1" x="301"/>
        <item m="1" x="187"/>
        <item m="1" x="332"/>
        <item m="1" x="329"/>
        <item m="1" x="199"/>
        <item m="1" x="287"/>
        <item x="35"/>
        <item m="1" x="387"/>
        <item m="1" x="339"/>
        <item m="1" x="139"/>
        <item m="1" x="275"/>
        <item m="1" x="219"/>
        <item m="1" x="205"/>
        <item m="1" x="181"/>
        <item m="1" x="169"/>
        <item m="1" x="222"/>
        <item m="1" x="73"/>
        <item m="1" x="366"/>
        <item x="18"/>
        <item m="1" x="330"/>
        <item m="1" x="128"/>
        <item m="1" x="179"/>
        <item m="1" x="132"/>
        <item m="1" x="311"/>
        <item m="1" x="284"/>
        <item m="1" x="109"/>
        <item x="37"/>
        <item m="1" x="106"/>
        <item m="1" x="350"/>
        <item m="1" x="108"/>
        <item m="1" x="313"/>
        <item m="1" x="198"/>
        <item x="8"/>
        <item m="1" x="196"/>
        <item x="6"/>
        <item m="1" x="309"/>
        <item m="1" x="303"/>
        <item m="1" x="346"/>
        <item m="1" x="378"/>
        <item m="1" x="216"/>
        <item m="1" x="105"/>
        <item m="1" x="217"/>
        <item m="1" x="157"/>
        <item m="1" x="300"/>
        <item m="1" x="379"/>
        <item m="1" x="129"/>
        <item m="1" x="382"/>
        <item m="1" x="341"/>
        <item m="1" x="276"/>
        <item m="1" x="91"/>
        <item x="27"/>
        <item m="1" x="102"/>
        <item m="1" x="381"/>
        <item m="1" x="325"/>
        <item x="62"/>
        <item m="1" x="384"/>
        <item m="1" x="383"/>
        <item m="1" x="172"/>
        <item m="1" x="170"/>
        <item m="1" x="210"/>
        <item m="1" x="201"/>
        <item m="1" x="203"/>
        <item m="1" x="345"/>
        <item m="1" x="72"/>
        <item m="1" x="195"/>
        <item m="1" x="208"/>
        <item m="1" x="244"/>
        <item x="31"/>
        <item m="1" x="96"/>
        <item m="1" x="335"/>
        <item m="1" x="305"/>
        <item m="1" x="343"/>
        <item m="1" x="277"/>
        <item m="1" x="191"/>
        <item m="1" x="281"/>
        <item x="69"/>
        <item m="1" x="149"/>
        <item m="1" x="162"/>
        <item m="1" x="356"/>
        <item m="1" x="94"/>
        <item m="1" x="246"/>
        <item m="1" x="322"/>
        <item m="1" x="253"/>
        <item m="1" x="260"/>
        <item m="1" x="337"/>
        <item x="9"/>
        <item m="1" x="334"/>
        <item x="33"/>
        <item m="1" x="282"/>
        <item m="1" x="158"/>
        <item m="1" x="95"/>
        <item m="1" x="192"/>
        <item m="1" x="286"/>
        <item m="1" x="211"/>
        <item m="1" x="385"/>
        <item m="1" x="386"/>
        <item x="67"/>
        <item x="24"/>
        <item m="1" x="364"/>
        <item m="1" x="285"/>
        <item m="1" x="118"/>
        <item m="1" x="229"/>
        <item x="68"/>
        <item m="1" x="361"/>
        <item m="1" x="124"/>
        <item m="1" x="363"/>
        <item m="1" x="147"/>
        <item m="1" x="243"/>
        <item m="1" x="180"/>
        <item m="1" x="259"/>
        <item m="1" x="152"/>
        <item x="3"/>
        <item m="1" x="297"/>
        <item m="1" x="184"/>
        <item x="61"/>
        <item m="1" x="256"/>
        <item m="1" x="160"/>
        <item m="1" x="377"/>
        <item m="1" x="183"/>
        <item x="50"/>
        <item m="1" x="209"/>
        <item m="1" x="204"/>
        <item m="1" x="159"/>
        <item m="1" x="374"/>
        <item m="1" x="227"/>
        <item m="1" x="333"/>
        <item m="1" x="164"/>
        <item m="1" x="137"/>
        <item m="1" x="136"/>
        <item x="53"/>
        <item m="1" x="218"/>
        <item m="1" x="123"/>
        <item m="1" x="131"/>
        <item x="52"/>
        <item m="1" x="188"/>
        <item m="1" x="347"/>
        <item m="1" x="111"/>
        <item x="70"/>
        <item m="1" x="294"/>
        <item m="1" x="146"/>
        <item m="1" x="200"/>
        <item m="1" x="365"/>
        <item m="1" x="214"/>
        <item m="1" x="357"/>
        <item m="1" x="344"/>
        <item m="1" x="267"/>
        <item m="1" x="261"/>
        <item x="55"/>
        <item h="1" x="71"/>
        <item m="1" x="207"/>
        <item m="1" x="202"/>
        <item x="38"/>
        <item x="28"/>
        <item m="1" x="88"/>
        <item m="1" x="324"/>
        <item x="26"/>
        <item x="30"/>
        <item m="1" x="89"/>
        <item m="1" x="92"/>
        <item m="1" x="90"/>
        <item x="15"/>
        <item x="19"/>
        <item x="23"/>
        <item m="1" x="87"/>
        <item m="1" x="245"/>
        <item m="1" x="269"/>
        <item m="1" x="130"/>
        <item m="1" x="81"/>
        <item m="1" x="80"/>
        <item m="1" x="317"/>
        <item m="1" x="314"/>
        <item m="1" x="82"/>
        <item m="1" x="268"/>
        <item x="58"/>
        <item m="1" x="126"/>
        <item m="1" x="125"/>
        <item m="1" x="355"/>
        <item m="1" x="99"/>
        <item m="1" x="100"/>
        <item m="1" x="342"/>
        <item m="1" x="103"/>
        <item m="1" x="101"/>
        <item m="1" x="151"/>
        <item m="1" x="75"/>
        <item m="1" x="83"/>
        <item m="1" x="78"/>
        <item m="1" x="316"/>
        <item x="65"/>
        <item m="1" x="76"/>
        <item m="1" x="121"/>
        <item m="1" x="166"/>
        <item m="1" x="221"/>
        <item x="47"/>
        <item m="1" x="328"/>
        <item m="1" x="338"/>
        <item m="1" x="185"/>
        <item m="1" x="370"/>
        <item m="1" x="351"/>
        <item m="1" x="288"/>
        <item m="1" x="110"/>
        <item m="1" x="349"/>
        <item m="1" x="348"/>
        <item m="1" x="278"/>
        <item m="1" x="340"/>
        <item h="1" x="10"/>
        <item h="1" m="1" x="292"/>
        <item h="1" m="1" x="133"/>
        <item h="1" m="1" x="299"/>
        <item h="1" m="1" x="255"/>
        <item h="1" m="1" x="213"/>
        <item h="1" m="1" x="262"/>
        <item h="1" m="1" x="263"/>
        <item h="1" m="1" x="290"/>
        <item h="1" m="1" x="252"/>
        <item h="1" m="1" x="182"/>
        <item h="1" m="1" x="293"/>
        <item h="1" m="1" x="264"/>
        <item h="1" x="59"/>
        <item h="1" m="1" x="144"/>
        <item h="1" m="1" x="254"/>
        <item h="1" m="1" x="270"/>
        <item h="1" m="1" x="272"/>
        <item h="1" m="1" x="98"/>
        <item h="1" m="1" x="249"/>
        <item h="1" m="1" x="279"/>
        <item h="1" m="1" x="283"/>
        <item h="1" x="39"/>
        <item h="1" m="1" x="112"/>
        <item h="1" m="1" x="289"/>
        <item h="1" m="1" x="225"/>
        <item h="1" m="1" x="291"/>
        <item h="1" x="45"/>
        <item h="1" m="1" x="142"/>
        <item h="1" m="1" x="228"/>
        <item h="1" m="1" x="258"/>
        <item h="1" m="1" x="186"/>
        <item h="1" m="1" x="193"/>
        <item h="1" m="1" x="250"/>
        <item h="1" m="1" x="251"/>
        <item h="1" m="1" x="177"/>
        <item h="1" m="1" x="127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24"/>
        <item h="1" m="1" x="134"/>
        <item h="1" m="1" x="220"/>
        <item h="1" m="1" x="155"/>
        <item h="1" m="1" x="215"/>
        <item h="1" x="48"/>
        <item h="1" x="54"/>
        <item h="1" m="1" x="197"/>
        <item h="1" x="51"/>
        <item h="1" m="1" x="165"/>
        <item h="1" m="1" x="173"/>
        <item h="1" m="1" x="141"/>
        <item h="1" m="1" x="104"/>
        <item h="1" m="1" x="120"/>
        <item h="1" m="1" x="138"/>
        <item h="1" m="1" x="140"/>
        <item h="1" x="66"/>
        <item h="1" m="1" x="143"/>
        <item h="1" m="1" x="145"/>
        <item h="1" x="1"/>
        <item h="1" x="41"/>
        <item t="default"/>
      </items>
    </pivotField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dataField="1"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numFmtId="9" showAll="0"/>
  </pivotFields>
  <rowFields count="1">
    <field x="6"/>
  </rowFields>
  <rowItems count="2">
    <i>
      <x v="51"/>
    </i>
    <i t="grand">
      <x/>
    </i>
  </rowItems>
  <colItems count="1">
    <i/>
  </colItems>
  <pageFields count="2">
    <pageField fld="0" hier="-1"/>
    <pageField fld="2" hier="-1"/>
  </pageFields>
  <dataFields count="1">
    <dataField name="Somma di QUANTITA'" fld="3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6C3EB1-99B6-456B-BDC0-16BC68A607D1}" name="PIVOT_MARGINE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9">
  <location ref="A3:B16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sd="0" x="5"/>
        <item sd="0" x="11"/>
        <item sd="0" x="3"/>
        <item sd="0" x="17"/>
        <item sd="0" x="2"/>
        <item sd="0" x="4"/>
        <item sd="0" m="1" x="64"/>
        <item sd="0" x="14"/>
        <item sd="0" x="1"/>
        <item h="1" sd="0" x="0"/>
        <item sd="0" m="1" x="29"/>
        <item sd="0" x="7"/>
        <item sd="0" x="15"/>
        <item sd="0" x="18"/>
        <item sd="0" m="1" x="26"/>
        <item sd="0" x="6"/>
        <item sd="0" m="1" x="24"/>
        <item sd="0" x="16"/>
        <item sd="0" x="19"/>
        <item sd="0" x="20"/>
        <item sd="0" m="1" x="27"/>
        <item sd="0" x="12"/>
        <item sd="0" m="1" x="22"/>
        <item sd="0" x="13"/>
        <item h="1" sd="0" x="21"/>
        <item sd="0" x="10"/>
        <item sd="0" m="1" x="25"/>
        <item sd="0" m="1" x="65"/>
        <item sd="0" x="8"/>
        <item sd="0" x="9"/>
        <item sd="0" m="1" x="23"/>
        <item sd="0" m="1" x="28"/>
        <item h="1"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t="default" sd="0"/>
      </items>
    </pivotField>
    <pivotField showAll="0"/>
    <pivotField numFmtId="44" showAll="0"/>
    <pivotField numFmtId="44" showAll="0"/>
    <pivotField axis="axisRow" showAll="0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axis="axisRow" showAll="0" measureFilter="1">
      <items count="67">
        <item x="0"/>
        <item sd="0" x="6"/>
        <item sd="0" x="12"/>
        <item sd="0" x="4"/>
        <item sd="0" x="18"/>
        <item sd="0" x="3"/>
        <item sd="0" x="5"/>
        <item sd="0" m="1" x="64"/>
        <item sd="0" x="15"/>
        <item sd="0" x="2"/>
        <item sd="0" m="1" x="29"/>
        <item sd="0" x="8"/>
        <item sd="0" x="16"/>
        <item sd="0" x="19"/>
        <item sd="0" m="1" x="26"/>
        <item sd="0" x="7"/>
        <item sd="0" m="1" x="24"/>
        <item sd="0" x="17"/>
        <item sd="0" x="20"/>
        <item sd="0" x="21"/>
        <item sd="0" m="1" x="27"/>
        <item sd="0" x="13"/>
        <item sd="0" m="1" x="22"/>
        <item sd="0" x="14"/>
        <item sd="0" x="11"/>
        <item sd="0" m="1" x="25"/>
        <item sd="0" m="1" x="65"/>
        <item sd="0" x="9"/>
        <item sd="0" x="10"/>
        <item sd="0" m="1" x="23"/>
        <item sd="0" m="1" x="28"/>
        <item m="1" x="30"/>
        <item sd="0" m="1" x="31"/>
        <item m="1" x="32"/>
        <item sd="0" m="1" x="33"/>
        <item m="1" x="34"/>
        <item m="1" x="35"/>
        <item sd="0" m="1" x="36"/>
        <item sd="0" m="1" x="37"/>
        <item sd="0" m="1" x="38"/>
        <item m="1" x="39"/>
        <item m="1" x="40"/>
        <item sd="0" m="1" x="41"/>
        <item m="1" x="42"/>
        <item m="1" x="43"/>
        <item m="1" x="44"/>
        <item sd="0" m="1" x="45"/>
        <item m="1" x="46"/>
        <item sd="0" m="1" x="47"/>
        <item m="1" x="48"/>
        <item sd="0"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sd="0" m="1" x="63"/>
        <item x="1"/>
        <item t="default"/>
      </items>
    </pivotField>
    <pivotField numFmtId="44" showAll="0"/>
    <pivotField numFmtId="10" showAll="0"/>
    <pivotField numFmtId="44" showAll="0"/>
    <pivotField numFmtId="44" showAll="0"/>
    <pivotField numFmtId="44" showAll="0"/>
    <pivotField dataField="1" numFmtId="9" showAll="0"/>
  </pivotFields>
  <rowFields count="2">
    <field x="7"/>
    <field x="6"/>
  </rowFields>
  <rowItems count="13">
    <i>
      <x v="1"/>
    </i>
    <i>
      <x v="3"/>
    </i>
    <i>
      <x v="4"/>
    </i>
    <i>
      <x v="5"/>
    </i>
    <i>
      <x v="8"/>
    </i>
    <i>
      <x v="9"/>
    </i>
    <i>
      <x v="11"/>
    </i>
    <i>
      <x v="12"/>
    </i>
    <i>
      <x v="15"/>
    </i>
    <i>
      <x v="17"/>
    </i>
    <i>
      <x v="18"/>
    </i>
    <i>
      <x v="19"/>
    </i>
    <i t="grand">
      <x/>
    </i>
  </rowItems>
  <colItems count="1">
    <i/>
  </colItems>
  <pageFields count="1">
    <pageField fld="2" hier="-1"/>
  </pageFields>
  <dataFields count="1">
    <dataField name="Media di % MARGINE" fld="13" subtotal="average" baseField="4" baseItem="8" numFmtId="9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5BEBF-35FB-4DB1-8241-4B1436CC5E7C}" name="Pivot_Cat_Qta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8">
  <location ref="A3:B9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dataField="1" showAll="0"/>
    <pivotField numFmtId="44" showAll="0"/>
    <pivotField numFmtId="44" showAll="0"/>
    <pivotField axis="axisRow" showAll="0" measureFilter="1">
      <items count="391">
        <item x="0"/>
        <item m="1" x="178"/>
        <item m="1" x="208"/>
        <item m="1" x="203"/>
        <item m="1" x="147"/>
        <item x="12"/>
        <item x="20"/>
        <item m="1" x="374"/>
        <item x="13"/>
        <item m="1" x="78"/>
        <item m="1" x="373"/>
        <item x="21"/>
        <item x="16"/>
        <item m="1" x="254"/>
        <item m="1" x="96"/>
        <item x="36"/>
        <item m="1" x="121"/>
        <item m="1" x="166"/>
        <item x="49"/>
        <item m="1" x="375"/>
        <item m="1" x="182"/>
        <item m="1" x="85"/>
        <item m="1" x="84"/>
        <item m="1" x="316"/>
        <item m="1" x="249"/>
        <item m="1" x="253"/>
        <item m="1" x="279"/>
        <item m="1" x="324"/>
        <item m="1" x="278"/>
        <item m="1" x="186"/>
        <item m="1" x="183"/>
        <item m="1" x="285"/>
        <item x="34"/>
        <item m="1" x="369"/>
        <item m="1" x="371"/>
        <item m="1" x="370"/>
        <item m="1" x="325"/>
        <item m="1" x="314"/>
        <item m="1" x="323"/>
        <item m="1" x="155"/>
        <item m="1" x="378"/>
        <item m="1" x="361"/>
        <item m="1" x="356"/>
        <item m="1" x="363"/>
        <item m="1" x="355"/>
        <item m="1" x="357"/>
        <item m="1" x="377"/>
        <item m="1" x="365"/>
        <item m="1" x="191"/>
        <item x="32"/>
        <item m="1" x="339"/>
        <item x="60"/>
        <item m="1" x="153"/>
        <item x="4"/>
        <item x="11"/>
        <item m="1" x="76"/>
        <item m="1" x="220"/>
        <item x="7"/>
        <item m="1" x="300"/>
        <item x="5"/>
        <item m="1" x="299"/>
        <item m="1" x="308"/>
        <item m="1" x="302"/>
        <item x="40"/>
        <item m="1" x="233"/>
        <item x="44"/>
        <item m="1" x="114"/>
        <item m="1" x="263"/>
        <item m="1" x="112"/>
        <item m="1" x="113"/>
        <item x="43"/>
        <item m="1" x="116"/>
        <item m="1" x="190"/>
        <item m="1" x="170"/>
        <item m="1" x="118"/>
        <item m="1" x="362"/>
        <item m="1" x="115"/>
        <item x="42"/>
        <item x="46"/>
        <item x="25"/>
        <item m="1" x="204"/>
        <item x="2"/>
        <item m="1" x="230"/>
        <item m="1" x="73"/>
        <item m="1" x="310"/>
        <item x="63"/>
        <item m="1" x="149"/>
        <item m="1" x="329"/>
        <item m="1" x="92"/>
        <item x="29"/>
        <item m="1" x="327"/>
        <item m="1" x="152"/>
        <item m="1" x="83"/>
        <item m="1" x="134"/>
        <item m="1" x="319"/>
        <item m="1" x="272"/>
        <item m="1" x="334"/>
        <item m="1" x="322"/>
        <item m="1" x="176"/>
        <item m="1" x="312"/>
        <item m="1" x="306"/>
        <item m="1" x="311"/>
        <item x="17"/>
        <item x="14"/>
        <item m="1" x="189"/>
        <item m="1" x="106"/>
        <item x="22"/>
        <item m="1" x="271"/>
        <item m="1" x="330"/>
        <item m="1" x="173"/>
        <item x="57"/>
        <item x="64"/>
        <item x="56"/>
        <item m="1" x="382"/>
        <item m="1" x="305"/>
        <item m="1" x="201"/>
        <item m="1" x="335"/>
        <item m="1" x="332"/>
        <item m="1" x="164"/>
        <item m="1" x="291"/>
        <item x="35"/>
        <item m="1" x="389"/>
        <item m="1" x="342"/>
        <item m="1" x="138"/>
        <item m="1" x="280"/>
        <item m="1" x="162"/>
        <item m="1" x="217"/>
        <item m="1" x="195"/>
        <item m="1" x="184"/>
        <item m="1" x="229"/>
        <item m="1" x="72"/>
        <item m="1" x="171"/>
        <item x="18"/>
        <item m="1" x="333"/>
        <item m="1" x="127"/>
        <item m="1" x="193"/>
        <item m="1" x="131"/>
        <item m="1" x="315"/>
        <item m="1" x="288"/>
        <item m="1" x="108"/>
        <item x="37"/>
        <item m="1" x="105"/>
        <item m="1" x="353"/>
        <item m="1" x="107"/>
        <item m="1" x="317"/>
        <item m="1" x="211"/>
        <item x="8"/>
        <item m="1" x="209"/>
        <item x="6"/>
        <item m="1" x="313"/>
        <item m="1" x="307"/>
        <item m="1" x="349"/>
        <item m="1" x="380"/>
        <item m="1" x="224"/>
        <item m="1" x="104"/>
        <item m="1" x="225"/>
        <item m="1" x="156"/>
        <item m="1" x="304"/>
        <item m="1" x="381"/>
        <item m="1" x="128"/>
        <item m="1" x="384"/>
        <item m="1" x="344"/>
        <item m="1" x="281"/>
        <item m="1" x="90"/>
        <item x="27"/>
        <item m="1" x="101"/>
        <item m="1" x="383"/>
        <item m="1" x="167"/>
        <item x="62"/>
        <item m="1" x="386"/>
        <item m="1" x="385"/>
        <item m="1" x="187"/>
        <item m="1" x="185"/>
        <item m="1" x="219"/>
        <item m="1" x="213"/>
        <item m="1" x="215"/>
        <item m="1" x="348"/>
        <item m="1" x="71"/>
        <item m="1" x="161"/>
        <item m="1" x="172"/>
        <item m="1" x="251"/>
        <item x="31"/>
        <item m="1" x="95"/>
        <item m="1" x="338"/>
        <item m="1" x="309"/>
        <item m="1" x="346"/>
        <item m="1" x="282"/>
        <item m="1" x="205"/>
        <item m="1" x="169"/>
        <item x="69"/>
        <item m="1" x="148"/>
        <item m="1" x="177"/>
        <item m="1" x="359"/>
        <item m="1" x="93"/>
        <item m="1" x="252"/>
        <item m="1" x="326"/>
        <item m="1" x="259"/>
        <item m="1" x="266"/>
        <item m="1" x="340"/>
        <item x="9"/>
        <item m="1" x="337"/>
        <item x="33"/>
        <item m="1" x="286"/>
        <item m="1" x="157"/>
        <item m="1" x="94"/>
        <item m="1" x="206"/>
        <item m="1" x="290"/>
        <item m="1" x="160"/>
        <item m="1" x="387"/>
        <item m="1" x="388"/>
        <item x="67"/>
        <item x="24"/>
        <item m="1" x="367"/>
        <item m="1" x="289"/>
        <item m="1" x="117"/>
        <item m="1" x="236"/>
        <item x="68"/>
        <item m="1" x="364"/>
        <item m="1" x="123"/>
        <item m="1" x="366"/>
        <item m="1" x="146"/>
        <item m="1" x="250"/>
        <item m="1" x="194"/>
        <item m="1" x="265"/>
        <item m="1" x="151"/>
        <item x="3"/>
        <item m="1" x="301"/>
        <item m="1" x="198"/>
        <item x="61"/>
        <item m="1" x="262"/>
        <item m="1" x="159"/>
        <item m="1" x="379"/>
        <item m="1" x="197"/>
        <item x="50"/>
        <item m="1" x="174"/>
        <item m="1" x="216"/>
        <item m="1" x="158"/>
        <item m="1" x="376"/>
        <item m="1" x="234"/>
        <item m="1" x="336"/>
        <item m="1" x="179"/>
        <item m="1" x="136"/>
        <item m="1" x="135"/>
        <item x="53"/>
        <item m="1" x="226"/>
        <item m="1" x="122"/>
        <item m="1" x="130"/>
        <item x="52"/>
        <item m="1" x="202"/>
        <item m="1" x="350"/>
        <item m="1" x="110"/>
        <item x="70"/>
        <item m="1" x="298"/>
        <item m="1" x="145"/>
        <item m="1" x="212"/>
        <item m="1" x="368"/>
        <item m="1" x="222"/>
        <item m="1" x="360"/>
        <item m="1" x="347"/>
        <item m="1" x="273"/>
        <item m="1" x="267"/>
        <item x="55"/>
        <item m="1" x="218"/>
        <item m="1" x="214"/>
        <item x="38"/>
        <item x="28"/>
        <item m="1" x="87"/>
        <item m="1" x="328"/>
        <item x="26"/>
        <item x="30"/>
        <item m="1" x="88"/>
        <item m="1" x="91"/>
        <item m="1" x="89"/>
        <item x="15"/>
        <item x="19"/>
        <item x="23"/>
        <item m="1" x="86"/>
        <item m="1" x="165"/>
        <item m="1" x="275"/>
        <item m="1" x="129"/>
        <item m="1" x="80"/>
        <item m="1" x="79"/>
        <item m="1" x="321"/>
        <item m="1" x="318"/>
        <item m="1" x="81"/>
        <item m="1" x="274"/>
        <item x="58"/>
        <item m="1" x="125"/>
        <item m="1" x="124"/>
        <item m="1" x="358"/>
        <item m="1" x="98"/>
        <item m="1" x="99"/>
        <item m="1" x="345"/>
        <item m="1" x="102"/>
        <item m="1" x="100"/>
        <item m="1" x="150"/>
        <item m="1" x="74"/>
        <item m="1" x="82"/>
        <item m="1" x="77"/>
        <item m="1" x="320"/>
        <item x="65"/>
        <item m="1" x="75"/>
        <item m="1" x="120"/>
        <item m="1" x="181"/>
        <item m="1" x="228"/>
        <item x="47"/>
        <item m="1" x="331"/>
        <item m="1" x="341"/>
        <item m="1" x="199"/>
        <item m="1" x="372"/>
        <item m="1" x="354"/>
        <item m="1" x="292"/>
        <item m="1" x="109"/>
        <item m="1" x="352"/>
        <item m="1" x="351"/>
        <item m="1" x="283"/>
        <item m="1" x="343"/>
        <item x="10"/>
        <item m="1" x="296"/>
        <item m="1" x="132"/>
        <item m="1" x="303"/>
        <item m="1" x="261"/>
        <item m="1" x="221"/>
        <item m="1" x="268"/>
        <item m="1" x="269"/>
        <item m="1" x="294"/>
        <item m="1" x="258"/>
        <item m="1" x="196"/>
        <item m="1" x="297"/>
        <item m="1" x="270"/>
        <item x="59"/>
        <item m="1" x="143"/>
        <item m="1" x="260"/>
        <item m="1" x="276"/>
        <item m="1" x="277"/>
        <item m="1" x="97"/>
        <item m="1" x="255"/>
        <item m="1" x="284"/>
        <item m="1" x="287"/>
        <item x="39"/>
        <item m="1" x="111"/>
        <item m="1" x="293"/>
        <item m="1" x="232"/>
        <item m="1" x="295"/>
        <item x="45"/>
        <item m="1" x="141"/>
        <item m="1" x="235"/>
        <item m="1" x="264"/>
        <item m="1" x="200"/>
        <item m="1" x="207"/>
        <item m="1" x="256"/>
        <item m="1" x="257"/>
        <item m="1" x="192"/>
        <item m="1" x="12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31"/>
        <item m="1" x="133"/>
        <item m="1" x="227"/>
        <item m="1" x="154"/>
        <item m="1" x="223"/>
        <item x="48"/>
        <item x="54"/>
        <item m="1" x="210"/>
        <item x="51"/>
        <item m="1" x="180"/>
        <item m="1" x="188"/>
        <item m="1" x="140"/>
        <item m="1" x="163"/>
        <item m="1" x="168"/>
        <item m="1" x="175"/>
        <item m="1" x="137"/>
        <item m="1" x="103"/>
        <item m="1" x="119"/>
        <item m="1" x="139"/>
        <item x="66"/>
        <item m="1" x="142"/>
        <item m="1" x="144"/>
        <item x="1"/>
        <item x="41"/>
        <item t="default"/>
      </items>
    </pivotField>
    <pivotField showAll="0" measureFilter="1"/>
    <pivotField numFmtId="44" showAll="0"/>
    <pivotField numFmtId="10" showAll="0"/>
    <pivotField numFmtId="44" showAll="0"/>
    <pivotField numFmtId="44" showAll="0"/>
    <pivotField numFmtId="44" showAll="0"/>
    <pivotField numFmtId="9" showAll="0"/>
  </pivotFields>
  <rowFields count="1">
    <field x="6"/>
  </rowFields>
  <rowItems count="6">
    <i>
      <x v="53"/>
    </i>
    <i>
      <x v="81"/>
    </i>
    <i>
      <x v="146"/>
    </i>
    <i>
      <x v="148"/>
    </i>
    <i>
      <x v="225"/>
    </i>
    <i t="grand">
      <x/>
    </i>
  </rowItems>
  <colItems count="1">
    <i/>
  </colItems>
  <pageFields count="1">
    <pageField fld="2" hier="-1"/>
  </pageFields>
  <dataFields count="1">
    <dataField name="Somma di QUANTITA'" fld="3" baseField="0" baseItem="0"/>
  </dataFields>
  <chartFormats count="6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ount" evalOrder="-1" id="11" iMeasureFld="0">
      <autoFilter ref="A1">
        <filterColumn colId="0">
          <top10 val="5" filterVal="5"/>
        </filterColumn>
      </autoFilter>
    </filter>
    <filter fld="7" type="count" evalOrder="-1" id="9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D6C414-76C2-4649-93E3-9359840AD164}" name="Pivot_Cat_Qta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4">
  <location ref="A3:B8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dataField="1" showAll="0"/>
    <pivotField numFmtId="44" showAll="0"/>
    <pivotField numFmtId="44" showAll="0"/>
    <pivotField axis="axisRow" showAll="0" measureFilter="1">
      <items count="391">
        <item x="0"/>
        <item m="1" x="178"/>
        <item m="1" x="208"/>
        <item m="1" x="203"/>
        <item m="1" x="147"/>
        <item x="12"/>
        <item x="20"/>
        <item m="1" x="374"/>
        <item x="13"/>
        <item m="1" x="78"/>
        <item m="1" x="373"/>
        <item x="21"/>
        <item x="16"/>
        <item m="1" x="254"/>
        <item m="1" x="96"/>
        <item x="36"/>
        <item m="1" x="121"/>
        <item m="1" x="166"/>
        <item x="49"/>
        <item m="1" x="375"/>
        <item m="1" x="182"/>
        <item m="1" x="85"/>
        <item m="1" x="84"/>
        <item m="1" x="316"/>
        <item m="1" x="249"/>
        <item m="1" x="253"/>
        <item m="1" x="279"/>
        <item m="1" x="324"/>
        <item m="1" x="278"/>
        <item m="1" x="186"/>
        <item m="1" x="183"/>
        <item m="1" x="285"/>
        <item x="34"/>
        <item m="1" x="369"/>
        <item m="1" x="371"/>
        <item m="1" x="370"/>
        <item m="1" x="325"/>
        <item m="1" x="314"/>
        <item m="1" x="323"/>
        <item m="1" x="155"/>
        <item m="1" x="378"/>
        <item m="1" x="361"/>
        <item m="1" x="356"/>
        <item m="1" x="363"/>
        <item m="1" x="355"/>
        <item m="1" x="357"/>
        <item m="1" x="377"/>
        <item m="1" x="365"/>
        <item m="1" x="191"/>
        <item x="32"/>
        <item m="1" x="339"/>
        <item x="60"/>
        <item m="1" x="153"/>
        <item x="4"/>
        <item x="11"/>
        <item m="1" x="76"/>
        <item m="1" x="220"/>
        <item x="7"/>
        <item m="1" x="300"/>
        <item x="5"/>
        <item m="1" x="299"/>
        <item m="1" x="308"/>
        <item m="1" x="302"/>
        <item x="40"/>
        <item m="1" x="233"/>
        <item x="44"/>
        <item m="1" x="114"/>
        <item m="1" x="263"/>
        <item m="1" x="112"/>
        <item m="1" x="113"/>
        <item x="43"/>
        <item m="1" x="116"/>
        <item m="1" x="190"/>
        <item m="1" x="170"/>
        <item m="1" x="118"/>
        <item m="1" x="362"/>
        <item m="1" x="115"/>
        <item x="42"/>
        <item x="46"/>
        <item x="25"/>
        <item m="1" x="204"/>
        <item x="2"/>
        <item m="1" x="230"/>
        <item m="1" x="73"/>
        <item m="1" x="310"/>
        <item x="63"/>
        <item m="1" x="149"/>
        <item m="1" x="329"/>
        <item m="1" x="92"/>
        <item x="29"/>
        <item m="1" x="327"/>
        <item m="1" x="152"/>
        <item m="1" x="83"/>
        <item m="1" x="134"/>
        <item m="1" x="319"/>
        <item m="1" x="272"/>
        <item m="1" x="334"/>
        <item m="1" x="322"/>
        <item m="1" x="176"/>
        <item m="1" x="312"/>
        <item m="1" x="306"/>
        <item m="1" x="311"/>
        <item x="17"/>
        <item x="14"/>
        <item m="1" x="189"/>
        <item m="1" x="106"/>
        <item x="22"/>
        <item m="1" x="271"/>
        <item m="1" x="330"/>
        <item m="1" x="173"/>
        <item x="57"/>
        <item x="64"/>
        <item x="56"/>
        <item m="1" x="382"/>
        <item m="1" x="305"/>
        <item m="1" x="201"/>
        <item m="1" x="335"/>
        <item m="1" x="332"/>
        <item m="1" x="164"/>
        <item m="1" x="291"/>
        <item x="35"/>
        <item m="1" x="389"/>
        <item m="1" x="342"/>
        <item m="1" x="138"/>
        <item m="1" x="280"/>
        <item m="1" x="162"/>
        <item m="1" x="217"/>
        <item m="1" x="195"/>
        <item m="1" x="184"/>
        <item m="1" x="229"/>
        <item m="1" x="72"/>
        <item m="1" x="171"/>
        <item x="18"/>
        <item m="1" x="333"/>
        <item m="1" x="127"/>
        <item m="1" x="193"/>
        <item m="1" x="131"/>
        <item m="1" x="315"/>
        <item m="1" x="288"/>
        <item m="1" x="108"/>
        <item x="37"/>
        <item m="1" x="105"/>
        <item m="1" x="353"/>
        <item m="1" x="107"/>
        <item m="1" x="317"/>
        <item m="1" x="211"/>
        <item x="8"/>
        <item m="1" x="209"/>
        <item x="6"/>
        <item m="1" x="313"/>
        <item m="1" x="307"/>
        <item m="1" x="349"/>
        <item m="1" x="380"/>
        <item m="1" x="224"/>
        <item m="1" x="104"/>
        <item m="1" x="225"/>
        <item m="1" x="156"/>
        <item m="1" x="304"/>
        <item m="1" x="381"/>
        <item m="1" x="128"/>
        <item m="1" x="384"/>
        <item m="1" x="344"/>
        <item m="1" x="281"/>
        <item m="1" x="90"/>
        <item x="27"/>
        <item m="1" x="101"/>
        <item m="1" x="383"/>
        <item m="1" x="167"/>
        <item x="62"/>
        <item m="1" x="386"/>
        <item m="1" x="385"/>
        <item m="1" x="187"/>
        <item m="1" x="185"/>
        <item m="1" x="219"/>
        <item m="1" x="213"/>
        <item m="1" x="215"/>
        <item m="1" x="348"/>
        <item m="1" x="71"/>
        <item m="1" x="161"/>
        <item m="1" x="172"/>
        <item m="1" x="251"/>
        <item x="31"/>
        <item m="1" x="95"/>
        <item m="1" x="338"/>
        <item m="1" x="309"/>
        <item m="1" x="346"/>
        <item m="1" x="282"/>
        <item m="1" x="205"/>
        <item m="1" x="169"/>
        <item x="69"/>
        <item m="1" x="148"/>
        <item m="1" x="177"/>
        <item m="1" x="359"/>
        <item m="1" x="93"/>
        <item m="1" x="252"/>
        <item m="1" x="326"/>
        <item m="1" x="259"/>
        <item m="1" x="266"/>
        <item m="1" x="340"/>
        <item x="9"/>
        <item m="1" x="337"/>
        <item x="33"/>
        <item m="1" x="286"/>
        <item m="1" x="157"/>
        <item m="1" x="94"/>
        <item m="1" x="206"/>
        <item m="1" x="290"/>
        <item m="1" x="160"/>
        <item m="1" x="387"/>
        <item m="1" x="388"/>
        <item x="67"/>
        <item x="24"/>
        <item m="1" x="367"/>
        <item m="1" x="289"/>
        <item m="1" x="117"/>
        <item m="1" x="236"/>
        <item x="68"/>
        <item m="1" x="364"/>
        <item m="1" x="123"/>
        <item m="1" x="366"/>
        <item m="1" x="146"/>
        <item m="1" x="250"/>
        <item m="1" x="194"/>
        <item m="1" x="265"/>
        <item m="1" x="151"/>
        <item x="3"/>
        <item m="1" x="301"/>
        <item m="1" x="198"/>
        <item x="61"/>
        <item m="1" x="262"/>
        <item m="1" x="159"/>
        <item m="1" x="379"/>
        <item m="1" x="197"/>
        <item x="50"/>
        <item m="1" x="174"/>
        <item m="1" x="216"/>
        <item m="1" x="158"/>
        <item m="1" x="376"/>
        <item m="1" x="234"/>
        <item m="1" x="336"/>
        <item m="1" x="179"/>
        <item m="1" x="136"/>
        <item m="1" x="135"/>
        <item x="53"/>
        <item m="1" x="226"/>
        <item m="1" x="122"/>
        <item m="1" x="130"/>
        <item x="52"/>
        <item m="1" x="202"/>
        <item m="1" x="350"/>
        <item m="1" x="110"/>
        <item x="70"/>
        <item m="1" x="298"/>
        <item m="1" x="145"/>
        <item m="1" x="212"/>
        <item m="1" x="368"/>
        <item m="1" x="222"/>
        <item m="1" x="360"/>
        <item m="1" x="347"/>
        <item m="1" x="273"/>
        <item m="1" x="267"/>
        <item x="55"/>
        <item m="1" x="218"/>
        <item m="1" x="214"/>
        <item x="38"/>
        <item x="28"/>
        <item m="1" x="87"/>
        <item m="1" x="328"/>
        <item x="26"/>
        <item x="30"/>
        <item m="1" x="88"/>
        <item m="1" x="91"/>
        <item m="1" x="89"/>
        <item x="15"/>
        <item x="19"/>
        <item x="23"/>
        <item m="1" x="86"/>
        <item m="1" x="165"/>
        <item m="1" x="275"/>
        <item m="1" x="129"/>
        <item m="1" x="80"/>
        <item m="1" x="79"/>
        <item m="1" x="321"/>
        <item m="1" x="318"/>
        <item m="1" x="81"/>
        <item m="1" x="274"/>
        <item x="58"/>
        <item m="1" x="125"/>
        <item m="1" x="124"/>
        <item m="1" x="358"/>
        <item m="1" x="98"/>
        <item m="1" x="99"/>
        <item m="1" x="345"/>
        <item m="1" x="102"/>
        <item m="1" x="100"/>
        <item m="1" x="150"/>
        <item m="1" x="74"/>
        <item m="1" x="82"/>
        <item m="1" x="77"/>
        <item m="1" x="320"/>
        <item x="65"/>
        <item m="1" x="75"/>
        <item m="1" x="120"/>
        <item m="1" x="181"/>
        <item m="1" x="228"/>
        <item x="47"/>
        <item m="1" x="331"/>
        <item m="1" x="341"/>
        <item m="1" x="199"/>
        <item m="1" x="372"/>
        <item m="1" x="354"/>
        <item m="1" x="292"/>
        <item m="1" x="109"/>
        <item m="1" x="352"/>
        <item m="1" x="351"/>
        <item m="1" x="283"/>
        <item m="1" x="343"/>
        <item x="10"/>
        <item m="1" x="296"/>
        <item m="1" x="132"/>
        <item m="1" x="303"/>
        <item m="1" x="261"/>
        <item m="1" x="221"/>
        <item m="1" x="268"/>
        <item m="1" x="269"/>
        <item m="1" x="294"/>
        <item m="1" x="258"/>
        <item m="1" x="196"/>
        <item m="1" x="297"/>
        <item m="1" x="270"/>
        <item x="59"/>
        <item m="1" x="143"/>
        <item m="1" x="260"/>
        <item m="1" x="276"/>
        <item m="1" x="277"/>
        <item m="1" x="97"/>
        <item m="1" x="255"/>
        <item m="1" x="284"/>
        <item m="1" x="287"/>
        <item x="39"/>
        <item m="1" x="111"/>
        <item m="1" x="293"/>
        <item m="1" x="232"/>
        <item m="1" x="295"/>
        <item x="45"/>
        <item m="1" x="141"/>
        <item m="1" x="235"/>
        <item m="1" x="264"/>
        <item m="1" x="200"/>
        <item m="1" x="207"/>
        <item m="1" x="256"/>
        <item m="1" x="257"/>
        <item m="1" x="192"/>
        <item m="1" x="12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31"/>
        <item m="1" x="133"/>
        <item m="1" x="227"/>
        <item m="1" x="154"/>
        <item m="1" x="223"/>
        <item x="48"/>
        <item x="54"/>
        <item m="1" x="210"/>
        <item x="51"/>
        <item m="1" x="180"/>
        <item m="1" x="188"/>
        <item m="1" x="140"/>
        <item m="1" x="163"/>
        <item m="1" x="168"/>
        <item m="1" x="175"/>
        <item m="1" x="137"/>
        <item m="1" x="103"/>
        <item m="1" x="119"/>
        <item m="1" x="139"/>
        <item x="66"/>
        <item m="1" x="142"/>
        <item m="1" x="144"/>
        <item x="1"/>
        <item x="41"/>
        <item t="default"/>
      </items>
    </pivotField>
    <pivotField showAll="0" measureFilter="1"/>
    <pivotField numFmtId="44" showAll="0"/>
    <pivotField numFmtId="10" showAll="0"/>
    <pivotField numFmtId="44" showAll="0"/>
    <pivotField numFmtId="44" showAll="0"/>
    <pivotField numFmtId="44" showAll="0"/>
    <pivotField numFmtId="9" showAll="0"/>
  </pivotFields>
  <rowFields count="1">
    <field x="6"/>
  </rowFields>
  <rowItems count="5">
    <i>
      <x v="63"/>
    </i>
    <i>
      <x v="77"/>
    </i>
    <i>
      <x v="339"/>
    </i>
    <i>
      <x v="389"/>
    </i>
    <i t="grand">
      <x/>
    </i>
  </rowItems>
  <colItems count="1">
    <i/>
  </colItems>
  <pageFields count="1">
    <pageField fld="2" hier="-1"/>
  </pageFields>
  <dataFields count="1">
    <dataField name="Somma di QUANTITA'" fld="3" baseField="0" baseItem="0"/>
  </dataFields>
  <chartFormats count="9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ount" evalOrder="-1" id="11" iMeasureFld="0">
      <autoFilter ref="A1">
        <filterColumn colId="0">
          <top10 val="5" filterVal="5"/>
        </filterColumn>
      </autoFilter>
    </filter>
    <filter fld="7" type="count" evalOrder="-1" id="9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6A07A-3897-486D-BDAB-310420491CC9}" name="Pivot_Cat_Qta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3">
  <location ref="A3:B4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dataField="1" showAll="0"/>
    <pivotField numFmtId="44" showAll="0"/>
    <pivotField numFmtId="44" showAll="0"/>
    <pivotField axis="axisRow" showAll="0" measureFilter="1">
      <items count="391">
        <item x="0"/>
        <item m="1" x="178"/>
        <item m="1" x="208"/>
        <item m="1" x="203"/>
        <item m="1" x="147"/>
        <item x="12"/>
        <item x="20"/>
        <item m="1" x="374"/>
        <item x="13"/>
        <item m="1" x="78"/>
        <item m="1" x="373"/>
        <item x="21"/>
        <item x="16"/>
        <item m="1" x="254"/>
        <item m="1" x="96"/>
        <item x="36"/>
        <item m="1" x="121"/>
        <item m="1" x="166"/>
        <item x="49"/>
        <item m="1" x="375"/>
        <item m="1" x="182"/>
        <item m="1" x="85"/>
        <item m="1" x="84"/>
        <item m="1" x="316"/>
        <item m="1" x="249"/>
        <item m="1" x="253"/>
        <item m="1" x="279"/>
        <item m="1" x="324"/>
        <item m="1" x="278"/>
        <item m="1" x="186"/>
        <item m="1" x="183"/>
        <item m="1" x="285"/>
        <item x="34"/>
        <item m="1" x="369"/>
        <item m="1" x="371"/>
        <item m="1" x="370"/>
        <item m="1" x="325"/>
        <item m="1" x="314"/>
        <item m="1" x="323"/>
        <item m="1" x="155"/>
        <item m="1" x="378"/>
        <item m="1" x="361"/>
        <item m="1" x="356"/>
        <item m="1" x="363"/>
        <item m="1" x="355"/>
        <item m="1" x="357"/>
        <item m="1" x="377"/>
        <item m="1" x="365"/>
        <item m="1" x="191"/>
        <item x="32"/>
        <item m="1" x="339"/>
        <item x="60"/>
        <item m="1" x="153"/>
        <item x="4"/>
        <item x="11"/>
        <item m="1" x="76"/>
        <item m="1" x="220"/>
        <item x="7"/>
        <item m="1" x="300"/>
        <item x="5"/>
        <item m="1" x="299"/>
        <item m="1" x="308"/>
        <item m="1" x="302"/>
        <item x="40"/>
        <item m="1" x="233"/>
        <item x="44"/>
        <item m="1" x="114"/>
        <item m="1" x="263"/>
        <item m="1" x="112"/>
        <item m="1" x="113"/>
        <item x="43"/>
        <item m="1" x="116"/>
        <item m="1" x="190"/>
        <item m="1" x="170"/>
        <item m="1" x="118"/>
        <item m="1" x="362"/>
        <item m="1" x="115"/>
        <item x="42"/>
        <item x="46"/>
        <item x="25"/>
        <item m="1" x="204"/>
        <item x="2"/>
        <item m="1" x="230"/>
        <item m="1" x="73"/>
        <item m="1" x="310"/>
        <item x="63"/>
        <item m="1" x="149"/>
        <item m="1" x="329"/>
        <item m="1" x="92"/>
        <item x="29"/>
        <item m="1" x="327"/>
        <item m="1" x="152"/>
        <item m="1" x="83"/>
        <item m="1" x="134"/>
        <item m="1" x="319"/>
        <item m="1" x="272"/>
        <item m="1" x="334"/>
        <item m="1" x="322"/>
        <item m="1" x="176"/>
        <item m="1" x="312"/>
        <item m="1" x="306"/>
        <item m="1" x="311"/>
        <item x="17"/>
        <item x="14"/>
        <item m="1" x="189"/>
        <item m="1" x="106"/>
        <item x="22"/>
        <item m="1" x="271"/>
        <item m="1" x="330"/>
        <item m="1" x="173"/>
        <item x="57"/>
        <item x="64"/>
        <item x="56"/>
        <item m="1" x="382"/>
        <item m="1" x="305"/>
        <item m="1" x="201"/>
        <item m="1" x="335"/>
        <item m="1" x="332"/>
        <item m="1" x="164"/>
        <item m="1" x="291"/>
        <item x="35"/>
        <item m="1" x="389"/>
        <item m="1" x="342"/>
        <item m="1" x="138"/>
        <item m="1" x="280"/>
        <item m="1" x="162"/>
        <item m="1" x="217"/>
        <item m="1" x="195"/>
        <item m="1" x="184"/>
        <item m="1" x="229"/>
        <item m="1" x="72"/>
        <item m="1" x="171"/>
        <item x="18"/>
        <item m="1" x="333"/>
        <item m="1" x="127"/>
        <item m="1" x="193"/>
        <item m="1" x="131"/>
        <item m="1" x="315"/>
        <item m="1" x="288"/>
        <item m="1" x="108"/>
        <item x="37"/>
        <item m="1" x="105"/>
        <item m="1" x="353"/>
        <item m="1" x="107"/>
        <item m="1" x="317"/>
        <item m="1" x="211"/>
        <item x="8"/>
        <item m="1" x="209"/>
        <item x="6"/>
        <item m="1" x="313"/>
        <item m="1" x="307"/>
        <item m="1" x="349"/>
        <item m="1" x="380"/>
        <item m="1" x="224"/>
        <item m="1" x="104"/>
        <item m="1" x="225"/>
        <item m="1" x="156"/>
        <item m="1" x="304"/>
        <item m="1" x="381"/>
        <item m="1" x="128"/>
        <item m="1" x="384"/>
        <item m="1" x="344"/>
        <item m="1" x="281"/>
        <item m="1" x="90"/>
        <item x="27"/>
        <item m="1" x="101"/>
        <item m="1" x="383"/>
        <item m="1" x="167"/>
        <item x="62"/>
        <item m="1" x="386"/>
        <item m="1" x="385"/>
        <item m="1" x="187"/>
        <item m="1" x="185"/>
        <item m="1" x="219"/>
        <item m="1" x="213"/>
        <item m="1" x="215"/>
        <item m="1" x="348"/>
        <item m="1" x="71"/>
        <item m="1" x="161"/>
        <item m="1" x="172"/>
        <item m="1" x="251"/>
        <item x="31"/>
        <item m="1" x="95"/>
        <item m="1" x="338"/>
        <item m="1" x="309"/>
        <item m="1" x="346"/>
        <item m="1" x="282"/>
        <item m="1" x="205"/>
        <item m="1" x="169"/>
        <item x="69"/>
        <item m="1" x="148"/>
        <item m="1" x="177"/>
        <item m="1" x="359"/>
        <item m="1" x="93"/>
        <item m="1" x="252"/>
        <item m="1" x="326"/>
        <item m="1" x="259"/>
        <item m="1" x="266"/>
        <item m="1" x="340"/>
        <item x="9"/>
        <item m="1" x="337"/>
        <item x="33"/>
        <item m="1" x="286"/>
        <item m="1" x="157"/>
        <item m="1" x="94"/>
        <item m="1" x="206"/>
        <item m="1" x="290"/>
        <item m="1" x="160"/>
        <item m="1" x="387"/>
        <item m="1" x="388"/>
        <item x="67"/>
        <item x="24"/>
        <item m="1" x="367"/>
        <item m="1" x="289"/>
        <item m="1" x="117"/>
        <item m="1" x="236"/>
        <item x="68"/>
        <item m="1" x="364"/>
        <item m="1" x="123"/>
        <item m="1" x="366"/>
        <item m="1" x="146"/>
        <item m="1" x="250"/>
        <item m="1" x="194"/>
        <item m="1" x="265"/>
        <item m="1" x="151"/>
        <item x="3"/>
        <item m="1" x="301"/>
        <item m="1" x="198"/>
        <item x="61"/>
        <item m="1" x="262"/>
        <item m="1" x="159"/>
        <item m="1" x="379"/>
        <item m="1" x="197"/>
        <item x="50"/>
        <item m="1" x="174"/>
        <item m="1" x="216"/>
        <item m="1" x="158"/>
        <item m="1" x="376"/>
        <item m="1" x="234"/>
        <item m="1" x="336"/>
        <item m="1" x="179"/>
        <item m="1" x="136"/>
        <item m="1" x="135"/>
        <item x="53"/>
        <item m="1" x="226"/>
        <item m="1" x="122"/>
        <item m="1" x="130"/>
        <item x="52"/>
        <item m="1" x="202"/>
        <item m="1" x="350"/>
        <item m="1" x="110"/>
        <item x="70"/>
        <item m="1" x="298"/>
        <item m="1" x="145"/>
        <item m="1" x="212"/>
        <item m="1" x="368"/>
        <item m="1" x="222"/>
        <item m="1" x="360"/>
        <item m="1" x="347"/>
        <item m="1" x="273"/>
        <item m="1" x="267"/>
        <item x="55"/>
        <item m="1" x="218"/>
        <item m="1" x="214"/>
        <item x="38"/>
        <item x="28"/>
        <item m="1" x="87"/>
        <item m="1" x="328"/>
        <item x="26"/>
        <item x="30"/>
        <item m="1" x="88"/>
        <item m="1" x="91"/>
        <item m="1" x="89"/>
        <item x="15"/>
        <item x="19"/>
        <item x="23"/>
        <item m="1" x="86"/>
        <item m="1" x="165"/>
        <item m="1" x="275"/>
        <item m="1" x="129"/>
        <item m="1" x="80"/>
        <item m="1" x="79"/>
        <item m="1" x="321"/>
        <item m="1" x="318"/>
        <item m="1" x="81"/>
        <item m="1" x="274"/>
        <item x="58"/>
        <item m="1" x="125"/>
        <item m="1" x="124"/>
        <item m="1" x="358"/>
        <item m="1" x="98"/>
        <item m="1" x="99"/>
        <item m="1" x="345"/>
        <item m="1" x="102"/>
        <item m="1" x="100"/>
        <item m="1" x="150"/>
        <item m="1" x="74"/>
        <item m="1" x="82"/>
        <item m="1" x="77"/>
        <item m="1" x="320"/>
        <item x="65"/>
        <item m="1" x="75"/>
        <item m="1" x="120"/>
        <item m="1" x="181"/>
        <item m="1" x="228"/>
        <item x="47"/>
        <item m="1" x="331"/>
        <item m="1" x="341"/>
        <item m="1" x="199"/>
        <item m="1" x="372"/>
        <item m="1" x="354"/>
        <item m="1" x="292"/>
        <item m="1" x="109"/>
        <item m="1" x="352"/>
        <item m="1" x="351"/>
        <item m="1" x="283"/>
        <item m="1" x="343"/>
        <item x="10"/>
        <item m="1" x="296"/>
        <item m="1" x="132"/>
        <item m="1" x="303"/>
        <item m="1" x="261"/>
        <item m="1" x="221"/>
        <item m="1" x="268"/>
        <item m="1" x="269"/>
        <item m="1" x="294"/>
        <item m="1" x="258"/>
        <item m="1" x="196"/>
        <item m="1" x="297"/>
        <item m="1" x="270"/>
        <item x="59"/>
        <item m="1" x="143"/>
        <item m="1" x="260"/>
        <item m="1" x="276"/>
        <item m="1" x="277"/>
        <item m="1" x="97"/>
        <item m="1" x="255"/>
        <item m="1" x="284"/>
        <item m="1" x="287"/>
        <item x="39"/>
        <item m="1" x="111"/>
        <item m="1" x="293"/>
        <item m="1" x="232"/>
        <item m="1" x="295"/>
        <item x="45"/>
        <item m="1" x="141"/>
        <item m="1" x="235"/>
        <item m="1" x="264"/>
        <item m="1" x="200"/>
        <item m="1" x="207"/>
        <item m="1" x="256"/>
        <item m="1" x="257"/>
        <item m="1" x="192"/>
        <item m="1" x="12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31"/>
        <item m="1" x="133"/>
        <item m="1" x="227"/>
        <item m="1" x="154"/>
        <item m="1" x="223"/>
        <item x="48"/>
        <item x="54"/>
        <item m="1" x="210"/>
        <item x="51"/>
        <item m="1" x="180"/>
        <item m="1" x="188"/>
        <item m="1" x="140"/>
        <item m="1" x="163"/>
        <item m="1" x="168"/>
        <item m="1" x="175"/>
        <item m="1" x="137"/>
        <item m="1" x="103"/>
        <item m="1" x="119"/>
        <item m="1" x="139"/>
        <item x="66"/>
        <item m="1" x="142"/>
        <item m="1" x="144"/>
        <item x="1"/>
        <item x="41"/>
        <item t="default"/>
      </items>
    </pivotField>
    <pivotField showAll="0" measureFilter="1"/>
    <pivotField numFmtId="44" showAll="0"/>
    <pivotField numFmtId="10" showAll="0"/>
    <pivotField numFmtId="44" showAll="0"/>
    <pivotField numFmtId="44" showAll="0"/>
    <pivotField numFmtId="44" showAll="0"/>
    <pivotField numFmtId="9" showAll="0"/>
  </pivotFields>
  <rowFields count="1">
    <field x="6"/>
  </rowFields>
  <rowItems count="1">
    <i t="grand">
      <x/>
    </i>
  </rowItems>
  <colItems count="1">
    <i/>
  </colItems>
  <pageFields count="1">
    <pageField fld="2" hier="-1"/>
  </pageFields>
  <dataFields count="1">
    <dataField name="Somma di QUANTITA'" fld="3" baseField="0" baseItem="0"/>
  </dataFields>
  <chartFormats count="1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6" type="count" evalOrder="-1" id="11" iMeasureFld="0">
      <autoFilter ref="A1">
        <filterColumn colId="0">
          <top10 val="5" filterVal="5"/>
        </filterColumn>
      </autoFilter>
    </filter>
    <filter fld="7" type="count" evalOrder="-1" id="9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3D3B5F-BFCA-4EE5-A47F-12A794785DF8}" name="DRINK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9">
  <location ref="A3:B10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sd="0" x="3"/>
        <item h="1" sd="0" x="17"/>
        <item h="1" sd="0" x="2"/>
        <item h="1" sd="0" x="4"/>
        <item sd="0" m="1" x="64"/>
        <item h="1" sd="0" x="14"/>
        <item h="1" sd="0" x="1"/>
        <item h="1" sd="0" x="0"/>
        <item h="1" sd="0" m="1" x="29"/>
        <item sd="0" x="7"/>
        <item h="1" sd="0" x="15"/>
        <item h="1" sd="0" x="18"/>
        <item sd="0" m="1" x="26"/>
        <item sd="0" x="6"/>
        <item sd="0" m="1" x="24"/>
        <item h="1" sd="0" x="16"/>
        <item h="1" sd="0" x="19"/>
        <item h="1" sd="0" x="20"/>
        <item h="1" sd="0" m="1" x="27"/>
        <item h="1" sd="0" x="12"/>
        <item sd="0" m="1" x="22"/>
        <item h="1" sd="0" x="13"/>
        <item h="1" sd="0" x="21"/>
        <item h="1" sd="0" x="10"/>
        <item h="1" sd="0" m="1" x="25"/>
        <item sd="0" m="1" x="65"/>
        <item h="1" sd="0" x="8"/>
        <item h="1" sd="0" x="9"/>
        <item sd="0" m="1" x="23"/>
        <item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dataField="1" numFmtId="9" showAll="0"/>
  </pivotFields>
  <rowFields count="1">
    <field x="6"/>
  </rowFields>
  <rowItems count="7">
    <i>
      <x v="79"/>
    </i>
    <i>
      <x v="106"/>
    </i>
    <i>
      <x v="140"/>
    </i>
    <i>
      <x v="211"/>
    </i>
    <i>
      <x v="264"/>
    </i>
    <i>
      <x v="275"/>
    </i>
    <i t="grand">
      <x/>
    </i>
  </rowItems>
  <colItems count="1">
    <i/>
  </colItems>
  <pageFields count="1">
    <pageField fld="2" hier="-1"/>
  </pageFields>
  <dataFields count="1">
    <dataField name="Somma di % MARGINE" fld="13" baseField="0" baseItem="0" numFmtId="9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41282-5B1D-4B3B-9344-5B9BDD89034A}" name="DRINK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2">
  <location ref="A3:B7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dataField="1" numFmtId="9" showAll="0"/>
  </pivotFields>
  <rowFields count="1">
    <field x="6"/>
  </rowFields>
  <rowItems count="4">
    <i>
      <x v="243"/>
    </i>
    <i>
      <x v="247"/>
    </i>
    <i>
      <x v="374"/>
    </i>
    <i t="grand">
      <x/>
    </i>
  </rowItems>
  <colItems count="1">
    <i/>
  </colItems>
  <pageFields count="1">
    <pageField fld="2" hier="-1"/>
  </pageFields>
  <dataFields count="1">
    <dataField name="Somma di % MARGINE" fld="13" baseField="0" baseItem="0" numFmtId="9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D20C5-CAEB-4BB7-BD72-D96FCEDCACB8}" name="DRINK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5">
  <location ref="A3:B9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dataField="1" numFmtId="9" showAll="0"/>
  </pivotFields>
  <rowFields count="1">
    <field x="6"/>
  </rowFields>
  <rowItems count="6">
    <i>
      <x v="110"/>
    </i>
    <i>
      <x v="112"/>
    </i>
    <i>
      <x v="261"/>
    </i>
    <i>
      <x v="286"/>
    </i>
    <i>
      <x v="372"/>
    </i>
    <i t="grand">
      <x/>
    </i>
  </rowItems>
  <colItems count="1">
    <i/>
  </colItems>
  <pageFields count="1">
    <pageField fld="2" hier="-1"/>
  </pageFields>
  <dataFields count="1">
    <dataField name="Somma di % MARGINE" fld="13" baseField="0" baseItem="0" numFmtId="9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5A4FE-9A7F-4BBD-BB8E-DBDA0F824374}" name="DRINK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0">
  <location ref="A3:B8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sd="0" x="19"/>
        <item sd="0" x="20"/>
        <item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dataField="1" numFmtId="9" showAll="0"/>
  </pivotFields>
  <rowFields count="1">
    <field x="6"/>
  </rowFields>
  <rowItems count="5">
    <i>
      <x v="189"/>
    </i>
    <i>
      <x v="210"/>
    </i>
    <i>
      <x v="216"/>
    </i>
    <i>
      <x v="251"/>
    </i>
    <i t="grand">
      <x/>
    </i>
  </rowItems>
  <colItems count="1">
    <i/>
  </colItems>
  <pageFields count="1">
    <pageField fld="2" hier="-1"/>
  </pageFields>
  <dataFields count="1">
    <dataField name="Somma di % MARGINE" fld="13" baseField="0" baseItem="0" numFmtId="9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862DAA-BA2D-4755-942E-5787E5119D7F}" name="DRINK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4">
  <location ref="A3:B6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dataField="1" numFmtId="9" showAll="0"/>
  </pivotFields>
  <rowFields count="1">
    <field x="6"/>
  </rowFields>
  <rowItems count="3">
    <i>
      <x v="51"/>
    </i>
    <i>
      <x v="330"/>
    </i>
    <i t="grand">
      <x/>
    </i>
  </rowItems>
  <colItems count="1">
    <i/>
  </colItems>
  <pageFields count="1">
    <pageField fld="2" hier="-1"/>
  </pageFields>
  <dataFields count="1">
    <dataField name="Somma di % MARGINE" fld="13" baseField="0" baseItem="0" numFmtId="9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DBCE2-4737-4621-BBB7-B087EC951041}" name="DRINK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27">
  <location ref="A3:B7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dataField="1" numFmtId="9" showAll="0"/>
  </pivotFields>
  <rowFields count="1">
    <field x="6"/>
  </rowFields>
  <rowItems count="4">
    <i>
      <x v="18"/>
    </i>
    <i>
      <x v="233"/>
    </i>
    <i>
      <x v="371"/>
    </i>
    <i t="grand">
      <x/>
    </i>
  </rowItems>
  <colItems count="1">
    <i/>
  </colItems>
  <pageFields count="1">
    <pageField fld="2" hier="-1"/>
  </pageFields>
  <dataFields count="1">
    <dataField name="Somma di % MARGINE" fld="13" baseField="0" baseItem="0" numFmtId="9"/>
  </dataFields>
  <chartFormats count="1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670E5-6A8F-4F64-8600-95EFEB48EB77}" name="DRINK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3">
  <location ref="A3:B6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dataField="1" numFmtId="9" showAll="0"/>
  </pivotFields>
  <rowFields count="1">
    <field x="6"/>
  </rowFields>
  <rowItems count="3">
    <i>
      <x v="300"/>
    </i>
    <i>
      <x v="382"/>
    </i>
    <i t="grand">
      <x/>
    </i>
  </rowItems>
  <colItems count="1">
    <i/>
  </colItems>
  <pageFields count="1">
    <pageField fld="2" hier="-1"/>
  </pageFields>
  <dataFields count="1">
    <dataField name="Somma di % MARGINE" fld="13" baseField="0" baseItem="0" numFmtId="9"/>
  </dataFields>
  <chartFormats count="2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2277C-3403-4AF9-BFFC-BA81BCF8EFA9}" name="DRINK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5">
  <location ref="A3:B14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dataField="1" numFmtId="9" showAll="0"/>
  </pivotFields>
  <rowFields count="1">
    <field x="6"/>
  </rowFields>
  <rowItems count="11">
    <i>
      <x v="53"/>
    </i>
    <i>
      <x v="54"/>
    </i>
    <i>
      <x v="57"/>
    </i>
    <i>
      <x v="59"/>
    </i>
    <i>
      <x v="81"/>
    </i>
    <i>
      <x v="146"/>
    </i>
    <i>
      <x v="148"/>
    </i>
    <i>
      <x v="199"/>
    </i>
    <i>
      <x v="225"/>
    </i>
    <i>
      <x v="317"/>
    </i>
    <i t="grand">
      <x/>
    </i>
  </rowItems>
  <colItems count="1">
    <i/>
  </colItems>
  <pageFields count="1">
    <pageField fld="2" hier="-1"/>
  </pageFields>
  <dataFields count="1">
    <dataField name="Somma di % MARGINE" fld="13" baseField="0" baseItem="0" numFmtId="9"/>
  </dataFields>
  <chartFormats count="2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11AC4C-1570-470B-B2C0-205B3DCCE89B}" name="DRINK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8">
  <location ref="A3:B8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dataField="1" numFmtId="9" showAll="0"/>
  </pivotFields>
  <rowFields count="1">
    <field x="6"/>
  </rowFields>
  <rowItems count="5">
    <i>
      <x v="63"/>
    </i>
    <i>
      <x v="77"/>
    </i>
    <i>
      <x v="339"/>
    </i>
    <i>
      <x v="386"/>
    </i>
    <i t="grand">
      <x/>
    </i>
  </rowItems>
  <colItems count="1">
    <i/>
  </colItems>
  <pageFields count="1">
    <pageField fld="2" hier="-1"/>
  </pageFields>
  <dataFields count="1">
    <dataField name="Somma di % MARGINE" fld="13" baseField="0" baseItem="0" numFmtId="9"/>
  </dataFields>
  <chartFormats count="2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3E638-289E-4073-B09B-AAA00DC83222}" name="DRINK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1">
  <location ref="A3:B8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dataField="1" numFmtId="9" showAll="0"/>
  </pivotFields>
  <rowFields count="1">
    <field x="6"/>
  </rowFields>
  <rowItems count="5">
    <i>
      <x v="65"/>
    </i>
    <i>
      <x v="70"/>
    </i>
    <i>
      <x v="78"/>
    </i>
    <i>
      <x v="344"/>
    </i>
    <i t="grand">
      <x/>
    </i>
  </rowItems>
  <colItems count="1">
    <i/>
  </colItems>
  <pageFields count="1">
    <pageField fld="2" hier="-1"/>
  </pageFields>
  <dataFields count="1">
    <dataField name="Somma di % MARGINE" fld="13" baseField="0" baseItem="0" numFmtId="9"/>
  </dataFields>
  <chartFormats count="3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D3A26-46A6-4306-9D4B-F61E68105FF6}" name="DRINK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4">
  <location ref="A3:B4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h="1"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dataField="1" numFmtId="9" showAll="0"/>
  </pivotFields>
  <rowFields count="1">
    <field x="6"/>
  </rowFields>
  <rowItems count="1">
    <i t="grand">
      <x/>
    </i>
  </rowItems>
  <colItems count="1">
    <i/>
  </colItems>
  <pageFields count="1">
    <pageField fld="2" hier="-1"/>
  </pageFields>
  <dataFields count="1">
    <dataField name="Somma di % MARGINE" fld="13" baseField="0" baseItem="0" numFmtId="9"/>
  </dataFields>
  <chartFormats count="3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842DB9-625F-47E9-B684-1557CDCFE6BF}" name="PIVOT_QT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10">
  <location ref="A3:B9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x="5"/>
        <item x="11"/>
        <item x="3"/>
        <item x="17"/>
        <item x="2"/>
        <item x="4"/>
        <item m="1" x="64"/>
        <item x="14"/>
        <item x="1"/>
        <item h="1" x="0"/>
        <item m="1" x="29"/>
        <item x="7"/>
        <item x="15"/>
        <item x="18"/>
        <item m="1" x="26"/>
        <item x="6"/>
        <item m="1" x="24"/>
        <item x="16"/>
        <item x="19"/>
        <item x="20"/>
        <item m="1" x="27"/>
        <item x="12"/>
        <item m="1" x="22"/>
        <item x="13"/>
        <item h="1" x="21"/>
        <item x="10"/>
        <item m="1" x="25"/>
        <item m="1" x="65"/>
        <item x="8"/>
        <item x="9"/>
        <item m="1" x="23"/>
        <item m="1" x="28"/>
        <item h="1"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t="default"/>
      </items>
    </pivotField>
    <pivotField dataField="1" showAll="0"/>
    <pivotField numFmtId="44" showAll="0"/>
    <pivotField numFmtId="44" showAll="0"/>
    <pivotField showAll="0"/>
    <pivotField axis="axisRow" showAll="0" measureFilter="1">
      <items count="67">
        <item sd="0" x="0"/>
        <item sd="0" x="6"/>
        <item sd="0" x="12"/>
        <item sd="0" x="4"/>
        <item sd="0" x="18"/>
        <item sd="0" x="3"/>
        <item sd="0" x="5"/>
        <item sd="0" m="1" x="64"/>
        <item sd="0" x="15"/>
        <item sd="0" x="2"/>
        <item sd="0" m="1" x="29"/>
        <item sd="0" x="8"/>
        <item sd="0" x="16"/>
        <item sd="0" x="19"/>
        <item sd="0" m="1" x="26"/>
        <item sd="0" x="7"/>
        <item sd="0" m="1" x="24"/>
        <item sd="0" x="17"/>
        <item sd="0" x="20"/>
        <item sd="0" x="21"/>
        <item sd="0" m="1" x="27"/>
        <item sd="0" x="13"/>
        <item sd="0" m="1" x="22"/>
        <item sd="0" x="14"/>
        <item sd="0" x="11"/>
        <item sd="0" m="1" x="25"/>
        <item sd="0" m="1" x="65"/>
        <item sd="0" x="9"/>
        <item sd="0" x="10"/>
        <item sd="0" m="1" x="23"/>
        <item sd="0" m="1" x="28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x="1"/>
        <item t="default"/>
      </items>
    </pivotField>
    <pivotField numFmtId="44" showAll="0"/>
    <pivotField numFmtId="10" showAll="0"/>
    <pivotField numFmtId="44" showAll="0"/>
    <pivotField numFmtId="44" showAll="0"/>
    <pivotField numFmtId="44" showAll="0"/>
    <pivotField numFmtId="9" showAll="0"/>
  </pivotFields>
  <rowFields count="1">
    <field x="7"/>
  </rowFields>
  <rowItems count="6">
    <i>
      <x v="1"/>
    </i>
    <i>
      <x v="3"/>
    </i>
    <i>
      <x v="5"/>
    </i>
    <i>
      <x v="6"/>
    </i>
    <i>
      <x v="9"/>
    </i>
    <i t="grand">
      <x/>
    </i>
  </rowItems>
  <colItems count="1">
    <i/>
  </colItems>
  <pageFields count="1">
    <pageField fld="2" hier="-1"/>
  </pageFields>
  <dataFields count="1">
    <dataField name="Somma di QUANTITA'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B485D-BF23-47E5-8AF4-C41D699A07C8}" name="PIVOT_QT" cacheId="1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9">
  <location ref="A3:B9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x="5"/>
        <item h="1" x="11"/>
        <item h="1" x="3"/>
        <item h="1" x="17"/>
        <item h="1" x="2"/>
        <item x="4"/>
        <item h="1" m="1" x="64"/>
        <item h="1" x="14"/>
        <item h="1" x="1"/>
        <item h="1" x="0"/>
        <item h="1" m="1" x="29"/>
        <item h="1" x="7"/>
        <item h="1" x="15"/>
        <item h="1" x="18"/>
        <item h="1" m="1" x="26"/>
        <item h="1" x="6"/>
        <item h="1" m="1" x="24"/>
        <item h="1" x="16"/>
        <item h="1" x="19"/>
        <item h="1" x="20"/>
        <item h="1" m="1" x="27"/>
        <item h="1" x="12"/>
        <item h="1" m="1" x="22"/>
        <item h="1" x="13"/>
        <item h="1" x="21"/>
        <item h="1" x="10"/>
        <item h="1" m="1" x="25"/>
        <item h="1" m="1" x="65"/>
        <item h="1" x="8"/>
        <item h="1" x="9"/>
        <item h="1" m="1" x="23"/>
        <item h="1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/>
      </items>
    </pivotField>
    <pivotField dataField="1" showAll="0"/>
    <pivotField numFmtId="44" showAll="0"/>
    <pivotField numFmtId="44" showAll="0"/>
    <pivotField axis="axisRow" showAll="0" measureFilter="1">
      <items count="391">
        <item x="0"/>
        <item m="1" x="178"/>
        <item m="1" x="208"/>
        <item m="1" x="203"/>
        <item m="1" x="147"/>
        <item x="12"/>
        <item x="20"/>
        <item m="1" x="374"/>
        <item x="13"/>
        <item m="1" x="78"/>
        <item m="1" x="373"/>
        <item x="21"/>
        <item x="16"/>
        <item m="1" x="254"/>
        <item m="1" x="96"/>
        <item x="36"/>
        <item m="1" x="121"/>
        <item m="1" x="166"/>
        <item x="49"/>
        <item m="1" x="375"/>
        <item m="1" x="182"/>
        <item m="1" x="85"/>
        <item m="1" x="84"/>
        <item m="1" x="316"/>
        <item m="1" x="249"/>
        <item m="1" x="253"/>
        <item m="1" x="279"/>
        <item m="1" x="324"/>
        <item m="1" x="278"/>
        <item m="1" x="186"/>
        <item m="1" x="183"/>
        <item m="1" x="285"/>
        <item x="34"/>
        <item m="1" x="369"/>
        <item m="1" x="371"/>
        <item m="1" x="370"/>
        <item m="1" x="325"/>
        <item m="1" x="314"/>
        <item m="1" x="323"/>
        <item m="1" x="155"/>
        <item m="1" x="378"/>
        <item m="1" x="361"/>
        <item m="1" x="356"/>
        <item m="1" x="363"/>
        <item m="1" x="355"/>
        <item m="1" x="357"/>
        <item m="1" x="377"/>
        <item m="1" x="365"/>
        <item m="1" x="191"/>
        <item x="32"/>
        <item m="1" x="339"/>
        <item x="60"/>
        <item m="1" x="153"/>
        <item x="4"/>
        <item x="11"/>
        <item m="1" x="76"/>
        <item m="1" x="220"/>
        <item x="7"/>
        <item m="1" x="300"/>
        <item x="5"/>
        <item m="1" x="299"/>
        <item m="1" x="308"/>
        <item m="1" x="302"/>
        <item x="40"/>
        <item m="1" x="233"/>
        <item x="44"/>
        <item m="1" x="114"/>
        <item m="1" x="263"/>
        <item m="1" x="112"/>
        <item m="1" x="113"/>
        <item x="43"/>
        <item m="1" x="116"/>
        <item m="1" x="190"/>
        <item m="1" x="170"/>
        <item m="1" x="118"/>
        <item m="1" x="362"/>
        <item m="1" x="115"/>
        <item x="42"/>
        <item x="46"/>
        <item x="25"/>
        <item m="1" x="204"/>
        <item x="2"/>
        <item m="1" x="230"/>
        <item m="1" x="73"/>
        <item m="1" x="310"/>
        <item x="63"/>
        <item m="1" x="149"/>
        <item m="1" x="329"/>
        <item m="1" x="92"/>
        <item x="29"/>
        <item m="1" x="327"/>
        <item m="1" x="152"/>
        <item m="1" x="83"/>
        <item m="1" x="134"/>
        <item m="1" x="319"/>
        <item m="1" x="272"/>
        <item m="1" x="334"/>
        <item m="1" x="322"/>
        <item m="1" x="176"/>
        <item m="1" x="312"/>
        <item m="1" x="306"/>
        <item m="1" x="311"/>
        <item x="17"/>
        <item x="14"/>
        <item m="1" x="189"/>
        <item m="1" x="106"/>
        <item x="22"/>
        <item m="1" x="271"/>
        <item m="1" x="330"/>
        <item m="1" x="173"/>
        <item x="57"/>
        <item x="64"/>
        <item x="56"/>
        <item m="1" x="382"/>
        <item m="1" x="305"/>
        <item m="1" x="201"/>
        <item m="1" x="335"/>
        <item m="1" x="332"/>
        <item m="1" x="164"/>
        <item m="1" x="291"/>
        <item x="35"/>
        <item m="1" x="389"/>
        <item m="1" x="342"/>
        <item m="1" x="138"/>
        <item m="1" x="280"/>
        <item m="1" x="162"/>
        <item m="1" x="217"/>
        <item m="1" x="195"/>
        <item m="1" x="184"/>
        <item m="1" x="229"/>
        <item m="1" x="72"/>
        <item m="1" x="171"/>
        <item x="18"/>
        <item m="1" x="333"/>
        <item m="1" x="127"/>
        <item m="1" x="193"/>
        <item m="1" x="131"/>
        <item m="1" x="315"/>
        <item m="1" x="288"/>
        <item m="1" x="108"/>
        <item x="37"/>
        <item m="1" x="105"/>
        <item m="1" x="353"/>
        <item m="1" x="107"/>
        <item m="1" x="317"/>
        <item m="1" x="211"/>
        <item x="8"/>
        <item m="1" x="209"/>
        <item x="6"/>
        <item m="1" x="313"/>
        <item m="1" x="307"/>
        <item m="1" x="349"/>
        <item m="1" x="380"/>
        <item m="1" x="224"/>
        <item m="1" x="104"/>
        <item m="1" x="225"/>
        <item m="1" x="156"/>
        <item m="1" x="304"/>
        <item m="1" x="381"/>
        <item m="1" x="128"/>
        <item m="1" x="384"/>
        <item m="1" x="344"/>
        <item m="1" x="281"/>
        <item m="1" x="90"/>
        <item x="27"/>
        <item m="1" x="101"/>
        <item m="1" x="383"/>
        <item m="1" x="167"/>
        <item x="62"/>
        <item m="1" x="386"/>
        <item m="1" x="385"/>
        <item m="1" x="187"/>
        <item m="1" x="185"/>
        <item m="1" x="219"/>
        <item m="1" x="213"/>
        <item m="1" x="215"/>
        <item m="1" x="348"/>
        <item m="1" x="71"/>
        <item m="1" x="161"/>
        <item m="1" x="172"/>
        <item m="1" x="251"/>
        <item x="31"/>
        <item m="1" x="95"/>
        <item m="1" x="338"/>
        <item m="1" x="309"/>
        <item m="1" x="346"/>
        <item m="1" x="282"/>
        <item m="1" x="205"/>
        <item m="1" x="169"/>
        <item x="69"/>
        <item m="1" x="148"/>
        <item m="1" x="177"/>
        <item m="1" x="359"/>
        <item m="1" x="93"/>
        <item m="1" x="252"/>
        <item m="1" x="326"/>
        <item m="1" x="259"/>
        <item m="1" x="266"/>
        <item m="1" x="340"/>
        <item x="9"/>
        <item m="1" x="337"/>
        <item x="33"/>
        <item m="1" x="286"/>
        <item m="1" x="157"/>
        <item m="1" x="94"/>
        <item m="1" x="206"/>
        <item m="1" x="290"/>
        <item m="1" x="160"/>
        <item m="1" x="387"/>
        <item m="1" x="388"/>
        <item x="67"/>
        <item x="24"/>
        <item m="1" x="367"/>
        <item m="1" x="289"/>
        <item m="1" x="117"/>
        <item m="1" x="236"/>
        <item x="68"/>
        <item m="1" x="364"/>
        <item m="1" x="123"/>
        <item m="1" x="366"/>
        <item m="1" x="146"/>
        <item m="1" x="250"/>
        <item m="1" x="194"/>
        <item m="1" x="265"/>
        <item m="1" x="151"/>
        <item x="3"/>
        <item m="1" x="301"/>
        <item m="1" x="198"/>
        <item x="61"/>
        <item m="1" x="262"/>
        <item m="1" x="159"/>
        <item m="1" x="379"/>
        <item m="1" x="197"/>
        <item x="50"/>
        <item m="1" x="174"/>
        <item m="1" x="216"/>
        <item m="1" x="158"/>
        <item m="1" x="376"/>
        <item m="1" x="234"/>
        <item m="1" x="336"/>
        <item m="1" x="179"/>
        <item m="1" x="136"/>
        <item m="1" x="135"/>
        <item x="53"/>
        <item m="1" x="226"/>
        <item m="1" x="122"/>
        <item m="1" x="130"/>
        <item x="52"/>
        <item m="1" x="202"/>
        <item m="1" x="350"/>
        <item m="1" x="110"/>
        <item x="70"/>
        <item m="1" x="298"/>
        <item m="1" x="145"/>
        <item m="1" x="212"/>
        <item m="1" x="368"/>
        <item m="1" x="222"/>
        <item m="1" x="360"/>
        <item m="1" x="347"/>
        <item m="1" x="273"/>
        <item m="1" x="267"/>
        <item x="55"/>
        <item m="1" x="218"/>
        <item m="1" x="214"/>
        <item x="38"/>
        <item x="28"/>
        <item m="1" x="87"/>
        <item m="1" x="328"/>
        <item x="26"/>
        <item x="30"/>
        <item m="1" x="88"/>
        <item m="1" x="91"/>
        <item m="1" x="89"/>
        <item x="15"/>
        <item x="19"/>
        <item x="23"/>
        <item m="1" x="86"/>
        <item m="1" x="165"/>
        <item m="1" x="275"/>
        <item m="1" x="129"/>
        <item m="1" x="80"/>
        <item m="1" x="79"/>
        <item m="1" x="321"/>
        <item m="1" x="318"/>
        <item m="1" x="81"/>
        <item m="1" x="274"/>
        <item x="58"/>
        <item m="1" x="125"/>
        <item m="1" x="124"/>
        <item m="1" x="358"/>
        <item m="1" x="98"/>
        <item m="1" x="99"/>
        <item m="1" x="345"/>
        <item m="1" x="102"/>
        <item m="1" x="100"/>
        <item m="1" x="150"/>
        <item m="1" x="74"/>
        <item m="1" x="82"/>
        <item m="1" x="77"/>
        <item m="1" x="320"/>
        <item x="65"/>
        <item m="1" x="75"/>
        <item m="1" x="120"/>
        <item m="1" x="181"/>
        <item m="1" x="228"/>
        <item x="47"/>
        <item m="1" x="331"/>
        <item m="1" x="341"/>
        <item m="1" x="199"/>
        <item m="1" x="372"/>
        <item m="1" x="354"/>
        <item m="1" x="292"/>
        <item m="1" x="109"/>
        <item m="1" x="352"/>
        <item m="1" x="351"/>
        <item m="1" x="283"/>
        <item m="1" x="343"/>
        <item x="10"/>
        <item m="1" x="296"/>
        <item m="1" x="132"/>
        <item m="1" x="303"/>
        <item m="1" x="261"/>
        <item m="1" x="221"/>
        <item m="1" x="268"/>
        <item m="1" x="269"/>
        <item m="1" x="294"/>
        <item m="1" x="258"/>
        <item m="1" x="196"/>
        <item m="1" x="297"/>
        <item m="1" x="270"/>
        <item x="59"/>
        <item m="1" x="143"/>
        <item m="1" x="260"/>
        <item m="1" x="276"/>
        <item m="1" x="277"/>
        <item m="1" x="97"/>
        <item m="1" x="255"/>
        <item m="1" x="284"/>
        <item m="1" x="287"/>
        <item x="39"/>
        <item m="1" x="111"/>
        <item m="1" x="293"/>
        <item m="1" x="232"/>
        <item m="1" x="295"/>
        <item x="45"/>
        <item m="1" x="141"/>
        <item m="1" x="235"/>
        <item m="1" x="264"/>
        <item m="1" x="200"/>
        <item m="1" x="207"/>
        <item m="1" x="256"/>
        <item m="1" x="257"/>
        <item m="1" x="192"/>
        <item m="1" x="12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31"/>
        <item m="1" x="133"/>
        <item m="1" x="227"/>
        <item m="1" x="154"/>
        <item m="1" x="223"/>
        <item x="48"/>
        <item x="54"/>
        <item m="1" x="210"/>
        <item x="51"/>
        <item m="1" x="180"/>
        <item m="1" x="188"/>
        <item m="1" x="140"/>
        <item m="1" x="163"/>
        <item m="1" x="168"/>
        <item m="1" x="175"/>
        <item m="1" x="137"/>
        <item m="1" x="103"/>
        <item m="1" x="119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numFmtId="9" showAll="0"/>
  </pivotFields>
  <rowFields count="1">
    <field x="6"/>
  </rowFields>
  <rowItems count="6">
    <i>
      <x v="89"/>
    </i>
    <i>
      <x v="164"/>
    </i>
    <i>
      <x v="265"/>
    </i>
    <i>
      <x v="268"/>
    </i>
    <i>
      <x v="269"/>
    </i>
    <i t="grand">
      <x/>
    </i>
  </rowItems>
  <colItems count="1">
    <i/>
  </colItems>
  <pageFields count="1">
    <pageField fld="2" hier="-1"/>
  </pageFields>
  <dataFields count="1">
    <dataField name="Somma di QUANTITA'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90E11-3C1C-4EAD-8169-EF75D156429A}" name="PIVOT_MARGINE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6">
  <location ref="A3:B9" firstHeaderRow="1" firstDataRow="1" firstDataCol="1" rowPageCount="1" colPageCount="1"/>
  <pivotFields count="14">
    <pivotField showAll="0"/>
    <pivotField showAll="0"/>
    <pivotField axis="axisPage" multipleItemSelectionAllowed="1" showAll="0">
      <items count="67">
        <item h="1" sd="0" x="5"/>
        <item h="1" sd="0" x="11"/>
        <item h="1" sd="0" x="3"/>
        <item h="1" sd="0" x="17"/>
        <item h="1" sd="0" x="2"/>
        <item sd="0" x="4"/>
        <item h="1" sd="0" m="1" x="64"/>
        <item h="1" sd="0" x="14"/>
        <item h="1" sd="0" x="1"/>
        <item h="1" sd="0" x="0"/>
        <item h="1" sd="0" m="1" x="29"/>
        <item h="1" sd="0" x="7"/>
        <item h="1" sd="0" x="15"/>
        <item h="1" sd="0" x="18"/>
        <item h="1" sd="0" m="1" x="26"/>
        <item h="1" sd="0" x="6"/>
        <item h="1" sd="0" m="1" x="24"/>
        <item h="1" sd="0" x="16"/>
        <item h="1" sd="0" x="19"/>
        <item h="1" sd="0" x="20"/>
        <item h="1" sd="0" m="1" x="27"/>
        <item h="1" sd="0" x="12"/>
        <item h="1" sd="0" m="1" x="22"/>
        <item h="1" sd="0" x="13"/>
        <item h="1" sd="0" x="21"/>
        <item h="1" sd="0" x="10"/>
        <item h="1" sd="0" m="1" x="25"/>
        <item h="1" sd="0" m="1" x="65"/>
        <item h="1" sd="0" x="8"/>
        <item h="1" sd="0" x="9"/>
        <item h="1" sd="0" m="1" x="23"/>
        <item h="1" sd="0" m="1" x="28"/>
        <item h="1" m="1" x="30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t="default" sd="0"/>
      </items>
    </pivotField>
    <pivotField showAll="0"/>
    <pivotField numFmtId="44" showAll="0"/>
    <pivotField numFmtId="44" showAll="0"/>
    <pivotField axis="axisRow" showAll="0" measureFilter="1">
      <items count="388">
        <item x="0"/>
        <item m="1" x="162"/>
        <item m="1" x="193"/>
        <item m="1" x="188"/>
        <item m="1" x="147"/>
        <item x="12"/>
        <item x="20"/>
        <item m="1" x="371"/>
        <item x="13"/>
        <item m="1" x="78"/>
        <item m="1" x="370"/>
        <item x="21"/>
        <item x="16"/>
        <item m="1" x="247"/>
        <item m="1" x="96"/>
        <item x="36"/>
        <item m="1" x="121"/>
        <item m="1" x="270"/>
        <item x="49"/>
        <item m="1" x="372"/>
        <item m="1" x="166"/>
        <item m="1" x="85"/>
        <item m="1" x="84"/>
        <item m="1" x="311"/>
        <item m="1" x="241"/>
        <item m="1" x="246"/>
        <item m="1" x="273"/>
        <item m="1" x="319"/>
        <item m="1" x="272"/>
        <item m="1" x="170"/>
        <item m="1" x="167"/>
        <item m="1" x="279"/>
        <item x="34"/>
        <item m="1" x="366"/>
        <item m="1" x="368"/>
        <item m="1" x="367"/>
        <item m="1" x="320"/>
        <item m="1" x="309"/>
        <item m="1" x="318"/>
        <item m="1" x="155"/>
        <item m="1" x="375"/>
        <item m="1" x="357"/>
        <item m="1" x="352"/>
        <item m="1" x="359"/>
        <item m="1" x="351"/>
        <item m="1" x="353"/>
        <item m="1" x="374"/>
        <item m="1" x="361"/>
        <item m="1" x="175"/>
        <item x="32"/>
        <item m="1" x="335"/>
        <item x="60"/>
        <item m="1" x="153"/>
        <item x="4"/>
        <item x="11"/>
        <item m="1" x="76"/>
        <item m="1" x="211"/>
        <item x="7"/>
        <item m="1" x="295"/>
        <item x="5"/>
        <item m="1" x="294"/>
        <item m="1" x="303"/>
        <item m="1" x="297"/>
        <item x="40"/>
        <item m="1" x="225"/>
        <item x="44"/>
        <item m="1" x="114"/>
        <item m="1" x="256"/>
        <item m="1" x="112"/>
        <item m="1" x="113"/>
        <item x="43"/>
        <item m="1" x="116"/>
        <item m="1" x="174"/>
        <item m="1" x="177"/>
        <item m="1" x="118"/>
        <item m="1" x="358"/>
        <item m="1" x="115"/>
        <item x="42"/>
        <item x="46"/>
        <item x="25"/>
        <item m="1" x="189"/>
        <item x="2"/>
        <item m="1" x="222"/>
        <item m="1" x="73"/>
        <item m="1" x="305"/>
        <item x="63"/>
        <item m="1" x="149"/>
        <item m="1" x="325"/>
        <item m="1" x="92"/>
        <item x="29"/>
        <item m="1" x="322"/>
        <item m="1" x="152"/>
        <item m="1" x="83"/>
        <item m="1" x="134"/>
        <item m="1" x="314"/>
        <item m="1" x="265"/>
        <item m="1" x="330"/>
        <item m="1" x="317"/>
        <item m="1" x="160"/>
        <item m="1" x="307"/>
        <item m="1" x="301"/>
        <item m="1" x="306"/>
        <item x="17"/>
        <item x="14"/>
        <item m="1" x="173"/>
        <item m="1" x="106"/>
        <item x="22"/>
        <item m="1" x="264"/>
        <item m="1" x="326"/>
        <item m="1" x="205"/>
        <item x="57"/>
        <item x="64"/>
        <item x="56"/>
        <item m="1" x="379"/>
        <item m="1" x="300"/>
        <item m="1" x="186"/>
        <item m="1" x="331"/>
        <item m="1" x="328"/>
        <item m="1" x="198"/>
        <item m="1" x="286"/>
        <item x="35"/>
        <item m="1" x="386"/>
        <item m="1" x="338"/>
        <item m="1" x="138"/>
        <item m="1" x="274"/>
        <item m="1" x="218"/>
        <item m="1" x="204"/>
        <item m="1" x="180"/>
        <item m="1" x="168"/>
        <item m="1" x="221"/>
        <item m="1" x="72"/>
        <item m="1" x="365"/>
        <item x="18"/>
        <item m="1" x="329"/>
        <item m="1" x="127"/>
        <item m="1" x="178"/>
        <item m="1" x="131"/>
        <item m="1" x="310"/>
        <item m="1" x="283"/>
        <item m="1" x="108"/>
        <item x="37"/>
        <item m="1" x="105"/>
        <item m="1" x="349"/>
        <item m="1" x="107"/>
        <item m="1" x="312"/>
        <item m="1" x="197"/>
        <item x="8"/>
        <item m="1" x="195"/>
        <item x="6"/>
        <item m="1" x="308"/>
        <item m="1" x="302"/>
        <item m="1" x="345"/>
        <item m="1" x="377"/>
        <item m="1" x="215"/>
        <item m="1" x="104"/>
        <item m="1" x="216"/>
        <item m="1" x="156"/>
        <item m="1" x="299"/>
        <item m="1" x="378"/>
        <item m="1" x="128"/>
        <item m="1" x="381"/>
        <item m="1" x="340"/>
        <item m="1" x="275"/>
        <item m="1" x="90"/>
        <item x="27"/>
        <item m="1" x="101"/>
        <item m="1" x="380"/>
        <item m="1" x="324"/>
        <item x="62"/>
        <item m="1" x="383"/>
        <item m="1" x="382"/>
        <item m="1" x="171"/>
        <item m="1" x="169"/>
        <item m="1" x="209"/>
        <item m="1" x="200"/>
        <item m="1" x="202"/>
        <item m="1" x="344"/>
        <item m="1" x="71"/>
        <item m="1" x="194"/>
        <item m="1" x="207"/>
        <item m="1" x="243"/>
        <item x="31"/>
        <item m="1" x="95"/>
        <item m="1" x="334"/>
        <item m="1" x="304"/>
        <item m="1" x="342"/>
        <item m="1" x="276"/>
        <item m="1" x="190"/>
        <item m="1" x="280"/>
        <item x="69"/>
        <item m="1" x="148"/>
        <item m="1" x="161"/>
        <item m="1" x="355"/>
        <item m="1" x="93"/>
        <item m="1" x="245"/>
        <item m="1" x="321"/>
        <item m="1" x="252"/>
        <item m="1" x="259"/>
        <item m="1" x="336"/>
        <item x="9"/>
        <item m="1" x="333"/>
        <item x="33"/>
        <item m="1" x="281"/>
        <item m="1" x="157"/>
        <item m="1" x="94"/>
        <item m="1" x="191"/>
        <item m="1" x="285"/>
        <item m="1" x="210"/>
        <item m="1" x="384"/>
        <item m="1" x="385"/>
        <item x="67"/>
        <item x="24"/>
        <item m="1" x="363"/>
        <item m="1" x="284"/>
        <item m="1" x="117"/>
        <item m="1" x="228"/>
        <item x="68"/>
        <item m="1" x="360"/>
        <item m="1" x="123"/>
        <item m="1" x="362"/>
        <item m="1" x="146"/>
        <item m="1" x="242"/>
        <item m="1" x="179"/>
        <item m="1" x="258"/>
        <item m="1" x="151"/>
        <item x="3"/>
        <item m="1" x="296"/>
        <item m="1" x="183"/>
        <item x="61"/>
        <item m="1" x="255"/>
        <item m="1" x="159"/>
        <item m="1" x="376"/>
        <item m="1" x="182"/>
        <item x="50"/>
        <item m="1" x="208"/>
        <item m="1" x="203"/>
        <item m="1" x="158"/>
        <item m="1" x="373"/>
        <item m="1" x="226"/>
        <item m="1" x="332"/>
        <item m="1" x="163"/>
        <item m="1" x="136"/>
        <item m="1" x="135"/>
        <item x="53"/>
        <item m="1" x="217"/>
        <item m="1" x="122"/>
        <item m="1" x="130"/>
        <item x="52"/>
        <item m="1" x="187"/>
        <item m="1" x="346"/>
        <item m="1" x="110"/>
        <item x="70"/>
        <item m="1" x="293"/>
        <item m="1" x="145"/>
        <item m="1" x="199"/>
        <item m="1" x="364"/>
        <item m="1" x="213"/>
        <item m="1" x="356"/>
        <item m="1" x="343"/>
        <item m="1" x="266"/>
        <item m="1" x="260"/>
        <item x="55"/>
        <item m="1" x="206"/>
        <item m="1" x="201"/>
        <item x="38"/>
        <item x="28"/>
        <item m="1" x="87"/>
        <item m="1" x="323"/>
        <item x="26"/>
        <item x="30"/>
        <item m="1" x="88"/>
        <item m="1" x="91"/>
        <item m="1" x="89"/>
        <item x="15"/>
        <item x="19"/>
        <item x="23"/>
        <item m="1" x="86"/>
        <item m="1" x="244"/>
        <item m="1" x="268"/>
        <item m="1" x="129"/>
        <item m="1" x="80"/>
        <item m="1" x="79"/>
        <item m="1" x="316"/>
        <item m="1" x="313"/>
        <item m="1" x="81"/>
        <item m="1" x="267"/>
        <item x="58"/>
        <item m="1" x="125"/>
        <item m="1" x="124"/>
        <item m="1" x="354"/>
        <item m="1" x="98"/>
        <item m="1" x="99"/>
        <item m="1" x="341"/>
        <item m="1" x="102"/>
        <item m="1" x="100"/>
        <item m="1" x="150"/>
        <item m="1" x="74"/>
        <item m="1" x="82"/>
        <item m="1" x="77"/>
        <item m="1" x="315"/>
        <item x="65"/>
        <item m="1" x="75"/>
        <item m="1" x="120"/>
        <item m="1" x="165"/>
        <item m="1" x="220"/>
        <item x="47"/>
        <item m="1" x="327"/>
        <item m="1" x="337"/>
        <item m="1" x="184"/>
        <item m="1" x="369"/>
        <item m="1" x="350"/>
        <item m="1" x="287"/>
        <item m="1" x="109"/>
        <item m="1" x="348"/>
        <item m="1" x="347"/>
        <item m="1" x="277"/>
        <item m="1" x="339"/>
        <item x="10"/>
        <item m="1" x="291"/>
        <item m="1" x="132"/>
        <item m="1" x="298"/>
        <item m="1" x="254"/>
        <item m="1" x="212"/>
        <item m="1" x="261"/>
        <item m="1" x="262"/>
        <item m="1" x="289"/>
        <item m="1" x="251"/>
        <item m="1" x="181"/>
        <item m="1" x="292"/>
        <item m="1" x="263"/>
        <item x="59"/>
        <item m="1" x="143"/>
        <item m="1" x="253"/>
        <item m="1" x="269"/>
        <item m="1" x="271"/>
        <item m="1" x="97"/>
        <item m="1" x="248"/>
        <item m="1" x="278"/>
        <item m="1" x="282"/>
        <item x="39"/>
        <item m="1" x="111"/>
        <item m="1" x="288"/>
        <item m="1" x="224"/>
        <item m="1" x="290"/>
        <item x="45"/>
        <item m="1" x="141"/>
        <item m="1" x="227"/>
        <item m="1" x="257"/>
        <item m="1" x="185"/>
        <item m="1" x="192"/>
        <item m="1" x="249"/>
        <item m="1" x="250"/>
        <item m="1" x="176"/>
        <item m="1" x="126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23"/>
        <item m="1" x="133"/>
        <item m="1" x="219"/>
        <item m="1" x="154"/>
        <item m="1" x="214"/>
        <item x="48"/>
        <item x="54"/>
        <item m="1" x="196"/>
        <item x="51"/>
        <item m="1" x="164"/>
        <item m="1" x="172"/>
        <item m="1" x="140"/>
        <item m="1" x="103"/>
        <item m="1" x="119"/>
        <item m="1" x="137"/>
        <item m="1" x="139"/>
        <item x="66"/>
        <item m="1" x="142"/>
        <item m="1" x="144"/>
        <item x="1"/>
        <item x="41"/>
        <item t="default"/>
      </items>
    </pivotField>
    <pivotField showAll="0"/>
    <pivotField numFmtId="44" showAll="0"/>
    <pivotField numFmtId="10" showAll="0"/>
    <pivotField numFmtId="44" showAll="0"/>
    <pivotField numFmtId="44" showAll="0"/>
    <pivotField numFmtId="44" showAll="0"/>
    <pivotField dataField="1" numFmtId="9" showAll="0"/>
  </pivotFields>
  <rowFields count="1">
    <field x="6"/>
  </rowFields>
  <rowItems count="6">
    <i>
      <x v="89"/>
    </i>
    <i>
      <x v="164"/>
    </i>
    <i>
      <x v="265"/>
    </i>
    <i>
      <x v="268"/>
    </i>
    <i>
      <x v="269"/>
    </i>
    <i t="grand">
      <x/>
    </i>
  </rowItems>
  <colItems count="1">
    <i/>
  </colItems>
  <pageFields count="1">
    <pageField fld="2" hier="-1"/>
  </pageFields>
  <dataFields count="1">
    <dataField name="Media di % MARGINE" fld="13" subtotal="average" baseField="1" baseItem="1" numFmtId="9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hiusura" displayName="Chiusura" ref="A1:N73">
  <autoFilter ref="A1:N73" xr:uid="{00000000-000C-0000-FFFF-FFFF00000000}"/>
  <sortState xmlns:xlrd2="http://schemas.microsoft.com/office/spreadsheetml/2017/richdata2" ref="A2:N36">
    <sortCondition ref="B1:B36"/>
  </sortState>
  <tableColumns count="14">
    <tableColumn id="1" xr3:uid="{00000000-0010-0000-0000-000001000000}" name="PRODOTTO"/>
    <tableColumn id="12" xr3:uid="{59A5C89B-3FB8-494A-995E-C0D37582A05C}" name="COD. PROD." dataDxfId="42"/>
    <tableColumn id="2" xr3:uid="{00000000-0010-0000-0000-000002000000}" name="CATEGORIA"/>
    <tableColumn id="3" xr3:uid="{00000000-0010-0000-0000-000003000000}" name="QUANTITA'"/>
    <tableColumn id="4" xr3:uid="{00000000-0010-0000-0000-000004000000}" name="PREZZO UNITARIO" dataCellStyle="Valuta">
      <calculatedColumnFormula>+Chiusura[[#This Row],[TOTALE]]/Chiusura[[#This Row],[QUANTITA'']]</calculatedColumnFormula>
    </tableColumn>
    <tableColumn id="5" xr3:uid="{00000000-0010-0000-0000-000005000000}" name="TOTALE" dataCellStyle="Valuta"/>
    <tableColumn id="14" xr3:uid="{954B940D-F1E3-4E50-83FC-9F4436DB3336}" name="Prodotto_Report" dataDxfId="41" dataCellStyle="Valuta">
      <calculatedColumnFormula>IF(OR(A2="Coperto",A2="Servizio"),"",A2)</calculatedColumnFormula>
    </tableColumn>
    <tableColumn id="8" xr3:uid="{992EA396-B9D2-4910-BCDC-C3A6CC0D7BC1}" name="Categoria_Report" dataDxfId="40">
      <calculatedColumnFormula>IF(OR(C2="Cliente",C2="Servizio"),"",C2)</calculatedColumnFormula>
    </tableColumn>
    <tableColumn id="13" xr3:uid="{7459AEC6-8BF4-4E85-A3EC-631C4E382FB5}" name="TOT. IMP." dataDxfId="39" dataCellStyle="Valuta">
      <calculatedColumnFormula>IFERROR(F2/1.1,0)</calculatedColumnFormula>
    </tableColumn>
    <tableColumn id="6" xr3:uid="{00000000-0010-0000-0000-000006000000}" name="PERCENTUALE">
      <calculatedColumnFormula>I2/$I$74</calculatedColumnFormula>
    </tableColumn>
    <tableColumn id="7" xr3:uid="{00000000-0010-0000-0000-000007000000}" name="COSTO UNITARIO" dataCellStyle="Valuta">
      <calculatedColumnFormula>IFERROR(INDEX('FOOD-DRINK COST'!E:E,MATCH('CHIUSURA'!B2,'FOOD-DRINK COST'!C:C,0)),0)</calculatedColumnFormula>
    </tableColumn>
    <tableColumn id="9" xr3:uid="{00000000-0010-0000-0000-000009000000}" name="COSTO TOTALE" dataCellStyle="Valuta">
      <calculatedColumnFormula>Chiusura[[#This Row],[COSTO UNITARIO]]*D2</calculatedColumnFormula>
    </tableColumn>
    <tableColumn id="10" xr3:uid="{00000000-0010-0000-0000-00000A000000}" name="MARGINE" dataCellStyle="Valuta">
      <calculatedColumnFormula>IF(K2=0,0,(I2-L2))</calculatedColumnFormula>
    </tableColumn>
    <tableColumn id="11" xr3:uid="{00000000-0010-0000-0000-00000B000000}" name="% MARGINE">
      <calculatedColumnFormula>IFERROR(M2/I2,0)</calculatedColumnFormula>
    </tableColumn>
  </tableColumns>
  <tableStyleInfo name="Foglio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91B7DE-6529-4B35-8559-FA44D016977D}" name="Tabella2" displayName="Tabella2" ref="A1:F591" totalsRowShown="0" headerRowDxfId="38">
  <autoFilter ref="A1:F591" xr:uid="{6091B7DE-6529-4B35-8559-FA44D016977D}"/>
  <sortState xmlns:xlrd2="http://schemas.microsoft.com/office/spreadsheetml/2017/richdata2" ref="A2:E591">
    <sortCondition ref="C1:C591"/>
  </sortState>
  <tableColumns count="6">
    <tableColumn id="1" xr3:uid="{251C237E-D018-45C5-910B-5A04FC97FC7C}" name="Colonna1" dataDxfId="37"/>
    <tableColumn id="2" xr3:uid="{0B17A0C5-B040-4097-93BC-F70832BA9073}" name="DESCRIZIONE" dataDxfId="36"/>
    <tableColumn id="3" xr3:uid="{CF036B09-B5B1-41AC-8F2C-AC0284426CFE}" name="CODICE PRODOTTO" dataDxfId="35"/>
    <tableColumn id="4" xr3:uid="{04EE5ACE-BDE1-41B5-A28B-9E9AB643D64D}" name="COSTO TOT." dataDxfId="34" dataCellStyle="Valuta"/>
    <tableColumn id="5" xr3:uid="{8069B0E6-139E-49BF-BC42-50AEDA3835B8}" name="COSTO UNIT." dataDxfId="33" dataCellStyle="Valuta"/>
    <tableColumn id="6" xr3:uid="{2A866BC6-C7B7-480D-88BB-CDBD7373FBBD}" name="Colonna2" dataCellStyle="Valuta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C1DF20-4201-4E99-8B9A-1BB91ECA25F2}" name="cucina_lab" displayName="cucina_lab" ref="A20:C56">
  <autoFilter ref="A20:C56" xr:uid="{EDC1DF20-4201-4E99-8B9A-1BB91ECA25F2}"/>
  <tableColumns count="3">
    <tableColumn id="1" xr3:uid="{67EFBE99-16A8-4F77-90F0-6B7EFF195E57}" name="Cucina e Laboratorio" totalsRowLabel="Totale" dataDxfId="32" totalsRowDxfId="31"/>
    <tableColumn id="2" xr3:uid="{52AAECC2-98D7-4BBD-9EA4-62A71D40F6A8}" name="FATTURATI" dataDxfId="30" totalsRowDxfId="29" dataCellStyle="Valuta"/>
    <tableColumn id="3" xr3:uid="{BED512D4-9EA0-49FA-9D01-15BD18F33CB1}" name="PREVISTI" totalsRowFunction="count" dataDxfId="28" totalsRowDxfId="27" dataCellStyle="Valu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34D0D67-F95C-4FDC-AA13-D3F5C9B87C9A}" name="arred_mob" displayName="arred_mob" ref="A58:C105" totalsRowShown="0" headerRowDxfId="26" dataDxfId="25">
  <autoFilter ref="A58:C105" xr:uid="{D34D0D67-F95C-4FDC-AA13-D3F5C9B87C9A}"/>
  <tableColumns count="3">
    <tableColumn id="1" xr3:uid="{2503EF1E-E7A7-4579-921A-40598EE95DB2}" name="Arredamento/Mobili/costr. legg." dataDxfId="24"/>
    <tableColumn id="2" xr3:uid="{F09E1604-A3F4-4AF0-8B36-60C9A52535CA}" name="FATTURATI" dataDxfId="23" dataCellStyle="Valuta"/>
    <tableColumn id="3" xr3:uid="{95C6AC3E-6CCD-4BC0-B911-04DAA7E71DAA}" name="PREVISTI" dataDxfId="22" dataCellStyle="Valu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D89579B-E988-43D0-8674-383334F06FC5}" name="tecn_cassa" displayName="tecn_cassa" ref="A109:C117" totalsRowShown="0">
  <autoFilter ref="A109:C117" xr:uid="{1D89579B-E988-43D0-8674-383334F06FC5}"/>
  <tableColumns count="3">
    <tableColumn id="1" xr3:uid="{B350206E-F31A-4D1D-9F2A-F81237556D7A}" name="Tecnologia e Cassa" dataDxfId="21"/>
    <tableColumn id="2" xr3:uid="{E7C4D58D-11F8-4B05-8A49-4D5D0264C8FC}" name="FATTURATI" dataDxfId="20" dataCellStyle="Valuta"/>
    <tableColumn id="3" xr3:uid="{6B28BCDF-C51D-464C-9F0B-231D3AC041DA}" name="PREVISTI" dataDxfId="19" dataCellStyle="Valuta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1E9A25B-2FE2-4D78-85E9-32E2450FA045}" name="imp_audio" displayName="imp_audio" ref="A119:C122" totalsRowShown="0">
  <autoFilter ref="A119:C122" xr:uid="{51E9A25B-2FE2-4D78-85E9-32E2450FA045}"/>
  <tableColumns count="3">
    <tableColumn id="1" xr3:uid="{78CEC66C-5747-4AC1-94AF-99D216A60C1E}" name="Impianti e Audio" dataDxfId="18"/>
    <tableColumn id="2" xr3:uid="{8E67C45F-CF4B-4E07-A661-E7F6FCAFFC4F}" name="FATTURATI" dataDxfId="17" dataCellStyle="Valuta"/>
    <tableColumn id="3" xr3:uid="{5834B991-B752-460B-AE14-520A01A03A28}" name="PREVISTI" dataDxfId="16" dataCellStyle="Valut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9212C0-DB3C-4271-9D48-8D293513DB2A}" name="beni_basso_costo" displayName="beni_basso_costo" ref="A137:C182" totalsRowShown="0">
  <autoFilter ref="A137:C182" xr:uid="{3F9212C0-DB3C-4271-9D48-8D293513DB2A}"/>
  <tableColumns count="3">
    <tableColumn id="1" xr3:uid="{9BBB398B-456A-4BB6-BACC-DD5212354F96}" name="Beni basso costo (&lt;€516)" dataDxfId="15"/>
    <tableColumn id="2" xr3:uid="{2F5131B1-1104-49D1-9510-12969B01D307}" name="FATTURATI" dataDxfId="14" dataCellStyle="Valuta"/>
    <tableColumn id="3" xr3:uid="{BDB6BE94-2601-4FEB-A153-467B3750CEB8}" name="PREVISTI" dataDxfId="13" dataCellStyle="Valut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A84E077-0F83-452A-8F65-76561E291417}" name="Riepilogo" displayName="Riepilogo" ref="A9:E19" totalsRowShown="0" headerRowDxfId="12" headerRowBorderDxfId="11" tableBorderDxfId="10" totalsRowBorderDxfId="9">
  <autoFilter ref="A9:E19" xr:uid="{4A84E077-0F83-452A-8F65-76561E291417}"/>
  <tableColumns count="5">
    <tableColumn id="1" xr3:uid="{62A5B25E-DBE6-4A3E-95C7-8C9B0CF61D17}" name="Categoria" dataDxfId="8"/>
    <tableColumn id="6" xr3:uid="{90375C81-9BB1-4A5B-B679-7CD806E154B2}" name="Fatturati" dataDxfId="7" dataCellStyle="Valuta"/>
    <tableColumn id="8" xr3:uid="{2E802A0B-6BF2-451B-AF92-5C9A91B08E61}" name="Previsti" dataDxfId="6" dataCellStyle="Valuta"/>
    <tableColumn id="3" xr3:uid="{A5F9F768-6604-494E-8190-71EBEF8C8C12}" name="Aliquota %" dataDxfId="5"/>
    <tableColumn id="5" xr3:uid="{B2DF963A-F65F-424A-8191-1CFDD5DC2482}" name="Ammortamento Giorno" dataDxfId="4">
      <calculatedColumnFormula>((Riepilogo[[#This Row],[Previsti]]+Riepilogo[[#This Row],[Fatturati]])*Riepilogo[[#This Row],[Aliquota %]])/365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47F0B70-AD55-4454-AAF2-3125147E6C40}" name="soft_gest" displayName="soft_gest" ref="A124:C135" totalsRowShown="0">
  <autoFilter ref="A124:C135" xr:uid="{947F0B70-AD55-4454-AAF2-3125147E6C40}"/>
  <tableColumns count="3">
    <tableColumn id="1" xr3:uid="{727EB802-4279-4C1F-A9D9-6A6A4A39FDBF}" name="Software di gestione"/>
    <tableColumn id="2" xr3:uid="{23A6593A-C5EE-4014-8BBC-ADE2935086B8}" name="FATTURATI" dataDxfId="3" dataCellStyle="Valuta"/>
    <tableColumn id="3" xr3:uid="{9183B621-0003-470C-93A1-0D2CD3647F43}" name="PREVISTI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46CA97D3-7EA4-4E82-89B1-5390EF318395}" name="att_cuc" displayName="att_cuc" ref="A184:C301" totalsRowShown="0" headerRowDxfId="2" headerRowCellStyle="Valuta">
  <autoFilter ref="A184:C301" xr:uid="{46CA97D3-7EA4-4E82-89B1-5390EF318395}"/>
  <tableColumns count="3">
    <tableColumn id="1" xr3:uid="{0242201D-E0A7-435C-B7A9-ACA3A8083519}" name="Attrezzatura (stoviglie, att. Cucina etc.)"/>
    <tableColumn id="2" xr3:uid="{4691961B-4E58-45C5-8B74-64DB076A9C7D}" name="Fatturati" dataDxfId="1" dataCellStyle="Valuta"/>
    <tableColumn id="3" xr3:uid="{C38B0BBF-7362-4079-86D1-6F7D019E3429}" name="Previsti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405BADD-D785-4D08-B668-DC5358924988}" name="prest_terzi" displayName="prest_terzi" ref="A303:C320" totalsRowShown="0">
  <autoFilter ref="A303:C320" xr:uid="{6405BADD-D785-4D08-B668-DC5358924988}"/>
  <tableColumns count="3">
    <tableColumn id="1" xr3:uid="{621D25DA-41E5-4268-8FCD-9ECBC56FC10C}" name="Prestazioni di terzi"/>
    <tableColumn id="2" xr3:uid="{9EDB2F06-5092-4795-97E0-C8AB25F13558}" name="Fatturati" dataDxfId="0" dataCellStyle="Valuta"/>
    <tableColumn id="3" xr3:uid="{06A60163-DAD7-4F2E-95EB-366FC70B4BBF}" name="Previst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B4BDD7E-CBCD-405D-9B38-2469E763A471}">
  <we:reference id="WA200005271" version="2.6.1.0" store="Omex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pageSetUpPr fitToPage="1"/>
  </sheetPr>
  <dimension ref="A1:P1038"/>
  <sheetViews>
    <sheetView workbookViewId="0">
      <pane ySplit="1" topLeftCell="A57" activePane="bottomLeft" state="frozen"/>
      <selection pane="bottomLeft" activeCell="A74" sqref="A74:XFD142"/>
    </sheetView>
  </sheetViews>
  <sheetFormatPr defaultColWidth="14.42578125" defaultRowHeight="15" customHeight="1"/>
  <cols>
    <col min="1" max="1" width="35.28515625" customWidth="1"/>
    <col min="3" max="3" width="23.85546875" bestFit="1" customWidth="1"/>
    <col min="5" max="5" width="23.85546875" bestFit="1" customWidth="1"/>
    <col min="6" max="6" width="12.140625" customWidth="1"/>
    <col min="7" max="7" width="15.85546875" style="16" hidden="1" customWidth="1"/>
    <col min="8" max="8" width="12" style="16" hidden="1" customWidth="1"/>
    <col min="9" max="9" width="27.28515625" customWidth="1"/>
    <col min="10" max="10" width="25.7109375" bestFit="1" customWidth="1"/>
    <col min="11" max="11" width="12.5703125" style="16" bestFit="1" customWidth="1"/>
    <col min="12" max="12" width="14.140625" customWidth="1"/>
    <col min="13" max="13" width="22.85546875" style="16" customWidth="1"/>
    <col min="14" max="14" width="14.42578125" style="16"/>
    <col min="15" max="15" width="11.42578125" style="16" customWidth="1"/>
    <col min="16" max="16" width="12.7109375" customWidth="1"/>
    <col min="17" max="30" width="11.42578125" customWidth="1"/>
  </cols>
  <sheetData>
    <row r="1" spans="1:15">
      <c r="A1" s="1" t="s">
        <v>0</v>
      </c>
      <c r="B1" s="1" t="s">
        <v>322</v>
      </c>
      <c r="C1" s="1" t="s">
        <v>1</v>
      </c>
      <c r="D1" s="1" t="s">
        <v>2</v>
      </c>
      <c r="E1" s="14" t="s">
        <v>317</v>
      </c>
      <c r="F1" s="17" t="s">
        <v>3</v>
      </c>
      <c r="G1" s="1" t="s">
        <v>629</v>
      </c>
      <c r="H1" s="1" t="s">
        <v>628</v>
      </c>
      <c r="I1" s="17" t="s">
        <v>506</v>
      </c>
      <c r="J1" s="2" t="s">
        <v>4</v>
      </c>
      <c r="K1" s="14" t="s">
        <v>5</v>
      </c>
      <c r="L1" s="14" t="s">
        <v>6</v>
      </c>
      <c r="M1" s="14" t="s">
        <v>7</v>
      </c>
      <c r="N1" s="3" t="s">
        <v>8</v>
      </c>
      <c r="O1"/>
    </row>
    <row r="2" spans="1:15">
      <c r="A2" s="4" t="s">
        <v>147</v>
      </c>
      <c r="B2" s="4">
        <v>51</v>
      </c>
      <c r="C2" s="4" t="s">
        <v>148</v>
      </c>
      <c r="D2" s="4">
        <v>30</v>
      </c>
      <c r="E2" s="15">
        <f>+Chiusura[[#This Row],[TOTALE]]/Chiusura[[#This Row],[QUANTITA'']]</f>
        <v>1.4890000000000001</v>
      </c>
      <c r="F2" s="16">
        <v>44.67</v>
      </c>
      <c r="G2" s="4" t="str">
        <f t="shared" ref="G2:G33" si="0">IF(OR(A2="Coperto",A2="Servizio"),"",A2)</f>
        <v/>
      </c>
      <c r="H2" s="4" t="str">
        <f>IF(OR(C2="--Cliente--",C2="Servizio"),"",C2)</f>
        <v/>
      </c>
      <c r="I2" s="16">
        <f>IFERROR(F2/1.1,0)</f>
        <v>40.609090909090909</v>
      </c>
      <c r="J2" s="5">
        <f t="shared" ref="J2:J33" si="1">I2/$I$74</f>
        <v>2.5767486934551623E-2</v>
      </c>
      <c r="K2" s="17">
        <f>IFERROR(INDEX('FOOD-DRINK COST'!E:E,MATCH('CHIUSURA'!B2,'FOOD-DRINK COST'!C:C,0)),0)</f>
        <v>0</v>
      </c>
      <c r="L2" s="17">
        <f>Chiusura[[#This Row],[COSTO UNITARIO]]*D2</f>
        <v>0</v>
      </c>
      <c r="M2" s="17">
        <f>IF(K2=0,0,(I2-L2))</f>
        <v>0</v>
      </c>
      <c r="N2" s="2">
        <f>IFERROR(M2/I2,0)</f>
        <v>0</v>
      </c>
      <c r="O2"/>
    </row>
    <row r="3" spans="1:15">
      <c r="A3" s="4" t="s">
        <v>646</v>
      </c>
      <c r="B3" s="4">
        <v>55</v>
      </c>
      <c r="C3" s="4" t="s">
        <v>148</v>
      </c>
      <c r="D3" s="4">
        <v>90</v>
      </c>
      <c r="E3" s="15">
        <f>+Chiusura[[#This Row],[TOTALE]]/Chiusura[[#This Row],[QUANTITA'']]</f>
        <v>2.8888888888888888</v>
      </c>
      <c r="F3" s="16">
        <v>260</v>
      </c>
      <c r="G3" s="4" t="str">
        <f t="shared" si="0"/>
        <v>FISH</v>
      </c>
      <c r="H3" s="4" t="str">
        <f t="shared" ref="H3:H34" si="2">IF(OR(C3="Cliente",C3="Servizio"),"",C3)</f>
        <v>--CLIENTE--</v>
      </c>
      <c r="I3" s="16">
        <f t="shared" ref="I3:I66" si="3">IFERROR(F3/1.1,0)</f>
        <v>236.36363636363635</v>
      </c>
      <c r="J3" s="5">
        <f t="shared" si="1"/>
        <v>0.1499786568834435</v>
      </c>
      <c r="K3" s="17">
        <f>IFERROR(INDEX('FOOD-DRINK COST'!E:E,MATCH('CHIUSURA'!B3,'FOOD-DRINK COST'!C:C,0)),0)</f>
        <v>0</v>
      </c>
      <c r="L3" s="17">
        <f>Chiusura[[#This Row],[COSTO UNITARIO]]*D3</f>
        <v>0</v>
      </c>
      <c r="M3" s="17">
        <f>IF(K3=0,0,(I3-L3))</f>
        <v>0</v>
      </c>
      <c r="N3" s="2">
        <f t="shared" ref="N3:N36" si="4">IFERROR(M3/I3,0)</f>
        <v>0</v>
      </c>
      <c r="O3"/>
    </row>
    <row r="4" spans="1:15">
      <c r="A4" s="4" t="s">
        <v>40</v>
      </c>
      <c r="B4" s="4">
        <v>115</v>
      </c>
      <c r="C4" s="4" t="s">
        <v>15</v>
      </c>
      <c r="D4" s="4">
        <v>8</v>
      </c>
      <c r="E4" s="15">
        <f>+Chiusura[[#This Row],[TOTALE]]/Chiusura[[#This Row],[QUANTITA'']]</f>
        <v>1.95</v>
      </c>
      <c r="F4" s="16">
        <v>15.6</v>
      </c>
      <c r="G4" s="4" t="str">
        <f t="shared" si="0"/>
        <v>CAPPUCCINO</v>
      </c>
      <c r="H4" s="4" t="str">
        <f t="shared" si="2"/>
        <v>--CAFFETTERIA--</v>
      </c>
      <c r="I4" s="16">
        <f t="shared" si="3"/>
        <v>14.18181818181818</v>
      </c>
      <c r="J4" s="5">
        <f t="shared" si="1"/>
        <v>8.9987194130066086E-3</v>
      </c>
      <c r="K4" s="17">
        <f>IFERROR(INDEX('FOOD-DRINK COST'!E:E,MATCH('CHIUSURA'!B4,'FOOD-DRINK COST'!C:C,0)),0)</f>
        <v>0.3</v>
      </c>
      <c r="L4" s="17">
        <f>Chiusura[[#This Row],[COSTO UNITARIO]]*D4</f>
        <v>2.4</v>
      </c>
      <c r="M4" s="17">
        <f t="shared" ref="M4:M36" si="5">IF(K4=0,0,(I4-L4))</f>
        <v>11.78181818181818</v>
      </c>
      <c r="N4" s="2">
        <f t="shared" si="4"/>
        <v>0.8307692307692307</v>
      </c>
      <c r="O4"/>
    </row>
    <row r="5" spans="1:15">
      <c r="A5" s="4" t="s">
        <v>242</v>
      </c>
      <c r="B5" s="4">
        <v>131</v>
      </c>
      <c r="C5" s="4" t="s">
        <v>15</v>
      </c>
      <c r="D5" s="4">
        <v>14</v>
      </c>
      <c r="E5" s="15">
        <f>+Chiusura[[#This Row],[TOTALE]]/Chiusura[[#This Row],[QUANTITA'']]</f>
        <v>1.4464285714285714</v>
      </c>
      <c r="F5" s="16">
        <v>20.25</v>
      </c>
      <c r="G5" s="4" t="str">
        <f t="shared" si="0"/>
        <v>PASTA</v>
      </c>
      <c r="H5" s="4" t="str">
        <f t="shared" si="2"/>
        <v>--CAFFETTERIA--</v>
      </c>
      <c r="I5" s="16">
        <f t="shared" si="3"/>
        <v>18.409090909090907</v>
      </c>
      <c r="J5" s="5">
        <f t="shared" si="1"/>
        <v>1.1681030007268195E-2</v>
      </c>
      <c r="K5" s="17">
        <f>IFERROR(INDEX('FOOD-DRINK COST'!E:E,MATCH('CHIUSURA'!B5,'FOOD-DRINK COST'!C:C,0)),0)</f>
        <v>0.7</v>
      </c>
      <c r="L5" s="17">
        <f>Chiusura[[#This Row],[COSTO UNITARIO]]*D5</f>
        <v>9.7999999999999989</v>
      </c>
      <c r="M5" s="17">
        <f t="shared" si="5"/>
        <v>8.6090909090909076</v>
      </c>
      <c r="N5" s="2">
        <f t="shared" si="4"/>
        <v>0.4676543209876543</v>
      </c>
      <c r="O5"/>
    </row>
    <row r="6" spans="1:15">
      <c r="A6" s="4" t="s">
        <v>98</v>
      </c>
      <c r="B6" s="4">
        <v>101</v>
      </c>
      <c r="C6" s="4" t="s">
        <v>15</v>
      </c>
      <c r="D6" s="4">
        <v>32</v>
      </c>
      <c r="E6" s="15">
        <f>+Chiusura[[#This Row],[TOTALE]]/Chiusura[[#This Row],[QUANTITA'']]</f>
        <v>1.1996875</v>
      </c>
      <c r="F6" s="16">
        <v>38.39</v>
      </c>
      <c r="G6" s="4" t="str">
        <f t="shared" si="0"/>
        <v>CAFFE</v>
      </c>
      <c r="H6" s="4" t="str">
        <f t="shared" si="2"/>
        <v>--CAFFETTERIA--</v>
      </c>
      <c r="I6" s="16">
        <f t="shared" si="3"/>
        <v>34.9</v>
      </c>
      <c r="J6" s="5">
        <f t="shared" si="1"/>
        <v>2.2144925529828448E-2</v>
      </c>
      <c r="K6" s="17">
        <f>IFERROR(INDEX('FOOD-DRINK COST'!E:E,MATCH('CHIUSURA'!B6,'FOOD-DRINK COST'!C:C,0)),0)</f>
        <v>0.2</v>
      </c>
      <c r="L6" s="17">
        <f>Chiusura[[#This Row],[COSTO UNITARIO]]*D6</f>
        <v>6.4</v>
      </c>
      <c r="M6" s="17">
        <f t="shared" si="5"/>
        <v>28.5</v>
      </c>
      <c r="N6" s="2">
        <f t="shared" si="4"/>
        <v>0.81661891117478513</v>
      </c>
      <c r="O6"/>
    </row>
    <row r="7" spans="1:15">
      <c r="A7" s="4" t="s">
        <v>103</v>
      </c>
      <c r="B7" s="4">
        <v>133</v>
      </c>
      <c r="C7" s="4" t="s">
        <v>15</v>
      </c>
      <c r="D7" s="4">
        <v>4</v>
      </c>
      <c r="E7" s="15">
        <f>+Chiusura[[#This Row],[TOTALE]]/Chiusura[[#This Row],[QUANTITA'']]</f>
        <v>1.4624999999999999</v>
      </c>
      <c r="F7" s="16">
        <v>5.85</v>
      </c>
      <c r="G7" s="4" t="str">
        <f t="shared" si="0"/>
        <v>CAFFE MACCHIATO CALDO</v>
      </c>
      <c r="H7" s="4" t="str">
        <f t="shared" si="2"/>
        <v>--CAFFETTERIA--</v>
      </c>
      <c r="I7" s="16">
        <f t="shared" si="3"/>
        <v>5.3181818181818175</v>
      </c>
      <c r="J7" s="5">
        <f t="shared" si="1"/>
        <v>3.3745197798774784E-3</v>
      </c>
      <c r="K7" s="17">
        <f>IFERROR(INDEX('FOOD-DRINK COST'!E:E,MATCH('CHIUSURA'!B7,'FOOD-DRINK COST'!C:C,0)),0)</f>
        <v>0.22</v>
      </c>
      <c r="L7" s="17">
        <f>Chiusura[[#This Row],[COSTO UNITARIO]]*D7</f>
        <v>0.88</v>
      </c>
      <c r="M7" s="17">
        <f t="shared" si="5"/>
        <v>4.4381818181818176</v>
      </c>
      <c r="N7" s="2">
        <f t="shared" si="4"/>
        <v>0.83452991452991454</v>
      </c>
      <c r="O7"/>
    </row>
    <row r="8" spans="1:15">
      <c r="A8" s="4" t="s">
        <v>180</v>
      </c>
      <c r="B8" s="4">
        <v>109</v>
      </c>
      <c r="C8" s="4" t="s">
        <v>15</v>
      </c>
      <c r="D8" s="4">
        <v>5</v>
      </c>
      <c r="E8" s="15">
        <f>+Chiusura[[#This Row],[TOTALE]]/Chiusura[[#This Row],[QUANTITA'']]</f>
        <v>1.4380000000000002</v>
      </c>
      <c r="F8" s="16">
        <v>7.19</v>
      </c>
      <c r="G8" s="4" t="str">
        <f t="shared" si="0"/>
        <v>GINSENG DOLCE</v>
      </c>
      <c r="H8" s="4" t="str">
        <f t="shared" si="2"/>
        <v>--CAFFETTERIA--</v>
      </c>
      <c r="I8" s="16">
        <f t="shared" si="3"/>
        <v>6.5363636363636362</v>
      </c>
      <c r="J8" s="5">
        <f t="shared" si="1"/>
        <v>4.1474867038152263E-3</v>
      </c>
      <c r="K8" s="17">
        <f>IFERROR(INDEX('FOOD-DRINK COST'!E:E,MATCH('CHIUSURA'!B8,'FOOD-DRINK COST'!C:C,0)),0)</f>
        <v>0.3</v>
      </c>
      <c r="L8" s="17">
        <f>Chiusura[[#This Row],[COSTO UNITARIO]]*D8</f>
        <v>1.5</v>
      </c>
      <c r="M8" s="17">
        <f t="shared" si="5"/>
        <v>5.0363636363636362</v>
      </c>
      <c r="N8" s="2">
        <f t="shared" si="4"/>
        <v>0.77051460361613355</v>
      </c>
      <c r="O8"/>
    </row>
    <row r="9" spans="1:15">
      <c r="A9" s="4" t="s">
        <v>101</v>
      </c>
      <c r="B9" s="4">
        <v>120</v>
      </c>
      <c r="C9" s="4" t="s">
        <v>15</v>
      </c>
      <c r="D9" s="4">
        <v>1</v>
      </c>
      <c r="E9" s="15">
        <f>+Chiusura[[#This Row],[TOTALE]]/Chiusura[[#This Row],[QUANTITA'']]</f>
        <v>2</v>
      </c>
      <c r="F9" s="16">
        <v>2</v>
      </c>
      <c r="G9" s="4" t="str">
        <f t="shared" si="0"/>
        <v>CAFFE E LATTE</v>
      </c>
      <c r="H9" s="4" t="str">
        <f t="shared" si="2"/>
        <v>--CAFFETTERIA--</v>
      </c>
      <c r="I9" s="16">
        <f t="shared" si="3"/>
        <v>1.8181818181818181</v>
      </c>
      <c r="J9" s="5">
        <f t="shared" si="1"/>
        <v>1.1536819760264885E-3</v>
      </c>
      <c r="K9" s="17">
        <f>IFERROR(INDEX('FOOD-DRINK COST'!E:E,MATCH('CHIUSURA'!B9,'FOOD-DRINK COST'!C:C,0)),0)</f>
        <v>0.35</v>
      </c>
      <c r="L9" s="17">
        <f>Chiusura[[#This Row],[COSTO UNITARIO]]*D9</f>
        <v>0.35</v>
      </c>
      <c r="M9" s="17">
        <f t="shared" si="5"/>
        <v>1.4681818181818183</v>
      </c>
      <c r="N9" s="2">
        <f t="shared" si="4"/>
        <v>0.80750000000000011</v>
      </c>
      <c r="O9"/>
    </row>
    <row r="10" spans="1:15">
      <c r="A10" s="4" t="s">
        <v>179</v>
      </c>
      <c r="B10" s="4">
        <v>147</v>
      </c>
      <c r="C10" s="4" t="s">
        <v>15</v>
      </c>
      <c r="D10" s="4">
        <v>5</v>
      </c>
      <c r="E10" s="15">
        <f>+Chiusura[[#This Row],[TOTALE]]/Chiusura[[#This Row],[QUANTITA'']]</f>
        <v>1.3800000000000001</v>
      </c>
      <c r="F10" s="16">
        <v>6.9</v>
      </c>
      <c r="G10" s="4" t="str">
        <f t="shared" si="0"/>
        <v>GINSENG AMARO</v>
      </c>
      <c r="H10" s="4" t="str">
        <f t="shared" si="2"/>
        <v>--CAFFETTERIA--</v>
      </c>
      <c r="I10" s="16">
        <f t="shared" si="3"/>
        <v>6.2727272727272725</v>
      </c>
      <c r="J10" s="5">
        <f t="shared" si="1"/>
        <v>3.9802028172913851E-3</v>
      </c>
      <c r="K10" s="17">
        <f>IFERROR(INDEX('FOOD-DRINK COST'!E:E,MATCH('CHIUSURA'!B10,'FOOD-DRINK COST'!C:C,0)),0)</f>
        <v>0.3</v>
      </c>
      <c r="L10" s="17">
        <f>Chiusura[[#This Row],[COSTO UNITARIO]]*D10</f>
        <v>1.5</v>
      </c>
      <c r="M10" s="17">
        <f t="shared" si="5"/>
        <v>4.7727272727272725</v>
      </c>
      <c r="N10" s="2">
        <f t="shared" si="4"/>
        <v>0.76086956521739124</v>
      </c>
      <c r="O10"/>
    </row>
    <row r="11" spans="1:15">
      <c r="A11" s="4" t="s">
        <v>219</v>
      </c>
      <c r="B11" s="4">
        <v>166</v>
      </c>
      <c r="C11" s="4" t="s">
        <v>15</v>
      </c>
      <c r="D11" s="4">
        <v>3</v>
      </c>
      <c r="E11" s="15">
        <f>+Chiusura[[#This Row],[TOTALE]]/Chiusura[[#This Row],[QUANTITA'']]</f>
        <v>0.88666666666666671</v>
      </c>
      <c r="F11" s="16">
        <v>2.66</v>
      </c>
      <c r="G11" s="4" t="str">
        <f t="shared" si="0"/>
        <v>MIGNON</v>
      </c>
      <c r="H11" s="4" t="str">
        <f t="shared" si="2"/>
        <v>--CAFFETTERIA--</v>
      </c>
      <c r="I11" s="16">
        <f t="shared" si="3"/>
        <v>2.418181818181818</v>
      </c>
      <c r="J11" s="5">
        <f t="shared" si="1"/>
        <v>1.5343970281152296E-3</v>
      </c>
      <c r="K11" s="17">
        <f>IFERROR(INDEX('FOOD-DRINK COST'!E:E,MATCH('CHIUSURA'!B11,'FOOD-DRINK COST'!C:C,0)),0)</f>
        <v>0.38222222222222219</v>
      </c>
      <c r="L11" s="17">
        <f>Chiusura[[#This Row],[COSTO UNITARIO]]*D11</f>
        <v>1.1466666666666665</v>
      </c>
      <c r="M11" s="17">
        <f t="shared" si="5"/>
        <v>1.2715151515151515</v>
      </c>
      <c r="N11" s="2">
        <f t="shared" si="4"/>
        <v>0.52581453634085218</v>
      </c>
      <c r="O11"/>
    </row>
    <row r="12" spans="1:15">
      <c r="A12" s="4" t="s">
        <v>647</v>
      </c>
      <c r="B12" s="4">
        <v>177</v>
      </c>
      <c r="C12" s="4" t="s">
        <v>15</v>
      </c>
      <c r="D12" s="4">
        <v>2</v>
      </c>
      <c r="E12" s="15">
        <f>+Chiusura[[#This Row],[TOTALE]]/Chiusura[[#This Row],[QUANTITA'']]</f>
        <v>0.89500000000000002</v>
      </c>
      <c r="F12" s="16">
        <v>1.79</v>
      </c>
      <c r="G12" s="4" t="str">
        <f t="shared" si="0"/>
        <v>BISCOTTO FARCITO</v>
      </c>
      <c r="H12" s="4" t="str">
        <f t="shared" si="2"/>
        <v>--CAFFETTERIA--</v>
      </c>
      <c r="I12" s="16">
        <f t="shared" si="3"/>
        <v>1.6272727272727272</v>
      </c>
      <c r="J12" s="5">
        <f t="shared" si="1"/>
        <v>1.0325453685437072E-3</v>
      </c>
      <c r="K12" s="17">
        <f>IFERROR(INDEX('FOOD-DRINK COST'!E:E,MATCH('CHIUSURA'!B12,'FOOD-DRINK COST'!C:C,0)),0)</f>
        <v>0.38222222222222219</v>
      </c>
      <c r="L12" s="17">
        <f>Chiusura[[#This Row],[COSTO UNITARIO]]*D12</f>
        <v>0.76444444444444437</v>
      </c>
      <c r="M12" s="17">
        <f t="shared" si="5"/>
        <v>0.86282828282828283</v>
      </c>
      <c r="N12" s="2">
        <f t="shared" si="4"/>
        <v>0.53022967101179397</v>
      </c>
      <c r="O12"/>
    </row>
    <row r="13" spans="1:15">
      <c r="A13" s="4" t="s">
        <v>99</v>
      </c>
      <c r="B13" s="4">
        <v>102</v>
      </c>
      <c r="C13" s="4" t="s">
        <v>15</v>
      </c>
      <c r="D13" s="4">
        <v>1</v>
      </c>
      <c r="E13" s="15">
        <f>+Chiusura[[#This Row],[TOTALE]]/Chiusura[[#This Row],[QUANTITA'']]</f>
        <v>2.5</v>
      </c>
      <c r="F13" s="16">
        <v>2.5</v>
      </c>
      <c r="G13" s="4" t="str">
        <f t="shared" si="0"/>
        <v>CAFFE CORRETTO</v>
      </c>
      <c r="H13" s="4" t="str">
        <f t="shared" si="2"/>
        <v>--CAFFETTERIA--</v>
      </c>
      <c r="I13" s="16">
        <f t="shared" si="3"/>
        <v>2.2727272727272725</v>
      </c>
      <c r="J13" s="5">
        <f t="shared" si="1"/>
        <v>1.4421024700331105E-3</v>
      </c>
      <c r="K13" s="17">
        <f>IFERROR(INDEX('FOOD-DRINK COST'!E:E,MATCH('CHIUSURA'!B13,'FOOD-DRINK COST'!C:C,0)),0)</f>
        <v>0.25</v>
      </c>
      <c r="L13" s="17">
        <f>Chiusura[[#This Row],[COSTO UNITARIO]]*D13</f>
        <v>0.25</v>
      </c>
      <c r="M13" s="17">
        <f t="shared" si="5"/>
        <v>2.0227272727272725</v>
      </c>
      <c r="N13" s="2">
        <f t="shared" si="4"/>
        <v>0.89</v>
      </c>
      <c r="O13"/>
    </row>
    <row r="14" spans="1:15">
      <c r="A14" s="4" t="s">
        <v>54</v>
      </c>
      <c r="B14" s="4">
        <v>201</v>
      </c>
      <c r="C14" s="4" t="s">
        <v>55</v>
      </c>
      <c r="D14" s="4">
        <v>4</v>
      </c>
      <c r="E14" s="15">
        <f>+Chiusura[[#This Row],[TOTALE]]/Chiusura[[#This Row],[QUANTITA'']]</f>
        <v>0.29249999999999998</v>
      </c>
      <c r="F14" s="16">
        <v>1.17</v>
      </c>
      <c r="G14" s="4" t="str">
        <f t="shared" si="0"/>
        <v>ACQUA BICC GAS</v>
      </c>
      <c r="H14" s="4" t="str">
        <f t="shared" si="2"/>
        <v>--BIBITE--</v>
      </c>
      <c r="I14" s="16">
        <f t="shared" si="3"/>
        <v>1.0636363636363635</v>
      </c>
      <c r="J14" s="5">
        <f t="shared" si="1"/>
        <v>6.7490395597549573E-4</v>
      </c>
      <c r="K14" s="17">
        <f>IFERROR(INDEX('FOOD-DRINK COST'!E:E,MATCH('CHIUSURA'!B14,'FOOD-DRINK COST'!C:C,0)),0)</f>
        <v>0.13661041666666665</v>
      </c>
      <c r="L14" s="17">
        <f>Chiusura[[#This Row],[COSTO UNITARIO]]*D14</f>
        <v>0.5464416666666666</v>
      </c>
      <c r="M14" s="17">
        <f t="shared" si="5"/>
        <v>0.51719469696969689</v>
      </c>
      <c r="N14" s="2">
        <f t="shared" si="4"/>
        <v>0.4862514245014245</v>
      </c>
      <c r="O14"/>
    </row>
    <row r="15" spans="1:15">
      <c r="A15" s="4" t="s">
        <v>59</v>
      </c>
      <c r="B15" s="4">
        <v>203</v>
      </c>
      <c r="C15" s="4" t="s">
        <v>55</v>
      </c>
      <c r="D15" s="4">
        <v>4</v>
      </c>
      <c r="E15" s="15">
        <f>+Chiusura[[#This Row],[TOTALE]]/Chiusura[[#This Row],[QUANTITA'']]</f>
        <v>1.4624999999999999</v>
      </c>
      <c r="F15" s="16">
        <v>5.85</v>
      </c>
      <c r="G15" s="4" t="str">
        <f t="shared" si="0"/>
        <v>ACQUA GAS 0,50</v>
      </c>
      <c r="H15" s="4" t="str">
        <f t="shared" si="2"/>
        <v>--BIBITE--</v>
      </c>
      <c r="I15" s="16">
        <f t="shared" si="3"/>
        <v>5.3181818181818175</v>
      </c>
      <c r="J15" s="5">
        <f t="shared" si="1"/>
        <v>3.3745197798774784E-3</v>
      </c>
      <c r="K15" s="17">
        <f>IFERROR(INDEX('FOOD-DRINK COST'!E:E,MATCH('CHIUSURA'!B15,'FOOD-DRINK COST'!C:C,0)),0)</f>
        <v>0.2</v>
      </c>
      <c r="L15" s="17">
        <f>Chiusura[[#This Row],[COSTO UNITARIO]]*D15</f>
        <v>0.8</v>
      </c>
      <c r="M15" s="17">
        <f t="shared" si="5"/>
        <v>4.5181818181818176</v>
      </c>
      <c r="N15" s="2">
        <f t="shared" si="4"/>
        <v>0.84957264957264955</v>
      </c>
      <c r="O15"/>
    </row>
    <row r="16" spans="1:15">
      <c r="A16" s="4" t="s">
        <v>143</v>
      </c>
      <c r="B16" s="4">
        <v>251</v>
      </c>
      <c r="C16" s="4" t="s">
        <v>55</v>
      </c>
      <c r="D16" s="4">
        <v>6</v>
      </c>
      <c r="E16" s="15">
        <f>+Chiusura[[#This Row],[TOTALE]]/Chiusura[[#This Row],[QUANTITA'']]</f>
        <v>3.2833333333333332</v>
      </c>
      <c r="F16" s="16">
        <v>19.7</v>
      </c>
      <c r="G16" s="4" t="str">
        <f t="shared" si="0"/>
        <v>COCA COLA ZERO</v>
      </c>
      <c r="H16" s="4" t="str">
        <f t="shared" si="2"/>
        <v>--BIBITE--</v>
      </c>
      <c r="I16" s="16">
        <f t="shared" si="3"/>
        <v>17.909090909090907</v>
      </c>
      <c r="J16" s="5">
        <f t="shared" si="1"/>
        <v>1.136376746386091E-2</v>
      </c>
      <c r="K16" s="17">
        <f>IFERROR(INDEX('FOOD-DRINK COST'!E:E,MATCH('CHIUSURA'!B16,'FOOD-DRINK COST'!C:C,0)),0)</f>
        <v>0.66</v>
      </c>
      <c r="L16" s="17">
        <f>Chiusura[[#This Row],[COSTO UNITARIO]]*D16</f>
        <v>3.96</v>
      </c>
      <c r="M16" s="17">
        <f t="shared" si="5"/>
        <v>13.949090909090906</v>
      </c>
      <c r="N16" s="2">
        <f t="shared" si="4"/>
        <v>0.77888324873096437</v>
      </c>
      <c r="O16"/>
    </row>
    <row r="17" spans="1:15">
      <c r="A17" s="4" t="s">
        <v>284</v>
      </c>
      <c r="B17" s="4">
        <v>218</v>
      </c>
      <c r="C17" s="4" t="s">
        <v>55</v>
      </c>
      <c r="D17" s="4">
        <v>1</v>
      </c>
      <c r="E17" s="15">
        <f>+Chiusura[[#This Row],[TOTALE]]/Chiusura[[#This Row],[QUANTITA'']]</f>
        <v>5.14</v>
      </c>
      <c r="F17" s="16">
        <v>5.14</v>
      </c>
      <c r="G17" s="4" t="str">
        <f t="shared" si="0"/>
        <v>SPREMUTA</v>
      </c>
      <c r="H17" s="4" t="str">
        <f t="shared" si="2"/>
        <v>--BIBITE--</v>
      </c>
      <c r="I17" s="16">
        <f t="shared" si="3"/>
        <v>4.672727272727272</v>
      </c>
      <c r="J17" s="5">
        <f t="shared" si="1"/>
        <v>2.9649626783880751E-3</v>
      </c>
      <c r="K17" s="17">
        <f>IFERROR(INDEX('FOOD-DRINK COST'!E:E,MATCH('CHIUSURA'!B17,'FOOD-DRINK COST'!C:C,0)),0)</f>
        <v>1.2</v>
      </c>
      <c r="L17" s="17">
        <f>Chiusura[[#This Row],[COSTO UNITARIO]]*D17</f>
        <v>1.2</v>
      </c>
      <c r="M17" s="17">
        <f t="shared" si="5"/>
        <v>3.4727272727272718</v>
      </c>
      <c r="N17" s="2">
        <f t="shared" si="4"/>
        <v>0.74319066147859913</v>
      </c>
      <c r="O17"/>
    </row>
    <row r="18" spans="1:15">
      <c r="A18" s="4" t="s">
        <v>63</v>
      </c>
      <c r="B18" s="4">
        <v>206</v>
      </c>
      <c r="C18" s="4" t="s">
        <v>55</v>
      </c>
      <c r="D18" s="4">
        <v>3</v>
      </c>
      <c r="E18" s="15">
        <f>+Chiusura[[#This Row],[TOTALE]]/Chiusura[[#This Row],[QUANTITA'']]</f>
        <v>2.89</v>
      </c>
      <c r="F18" s="16">
        <v>8.67</v>
      </c>
      <c r="G18" s="4" t="str">
        <f t="shared" si="0"/>
        <v>ACQUA NAT 0,75</v>
      </c>
      <c r="H18" s="4" t="str">
        <f t="shared" si="2"/>
        <v>--BIBITE--</v>
      </c>
      <c r="I18" s="16">
        <f t="shared" si="3"/>
        <v>7.8818181818181809</v>
      </c>
      <c r="J18" s="5">
        <f t="shared" si="1"/>
        <v>5.0012113660748269E-3</v>
      </c>
      <c r="K18" s="17">
        <f>IFERROR(INDEX('FOOD-DRINK COST'!E:E,MATCH('CHIUSURA'!B18,'FOOD-DRINK COST'!C:C,0)),0)</f>
        <v>0.56999999999999995</v>
      </c>
      <c r="L18" s="17">
        <f>Chiusura[[#This Row],[COSTO UNITARIO]]*D18</f>
        <v>1.71</v>
      </c>
      <c r="M18" s="17">
        <f t="shared" si="5"/>
        <v>6.171818181818181</v>
      </c>
      <c r="N18" s="2">
        <f t="shared" si="4"/>
        <v>0.78304498269896194</v>
      </c>
      <c r="O18"/>
    </row>
    <row r="19" spans="1:15">
      <c r="A19" s="4" t="s">
        <v>12</v>
      </c>
      <c r="B19" s="4">
        <v>212</v>
      </c>
      <c r="C19" s="4" t="s">
        <v>55</v>
      </c>
      <c r="D19" s="4">
        <v>10</v>
      </c>
      <c r="E19" s="15">
        <f>+Chiusura[[#This Row],[TOTALE]]/Chiusura[[#This Row],[QUANTITA'']]</f>
        <v>3.4609999999999999</v>
      </c>
      <c r="F19" s="16">
        <v>34.61</v>
      </c>
      <c r="G19" s="4" t="str">
        <f t="shared" si="0"/>
        <v>COCA COLA</v>
      </c>
      <c r="H19" s="4" t="str">
        <f t="shared" si="2"/>
        <v>--BIBITE--</v>
      </c>
      <c r="I19" s="16">
        <f t="shared" si="3"/>
        <v>31.463636363636361</v>
      </c>
      <c r="J19" s="5">
        <f t="shared" si="1"/>
        <v>1.9964466595138383E-2</v>
      </c>
      <c r="K19" s="17">
        <f>IFERROR(INDEX('FOOD-DRINK COST'!E:E,MATCH('CHIUSURA'!B19,'FOOD-DRINK COST'!C:C,0)),0)</f>
        <v>0.66</v>
      </c>
      <c r="L19" s="17">
        <f>Chiusura[[#This Row],[COSTO UNITARIO]]*D19</f>
        <v>6.6000000000000005</v>
      </c>
      <c r="M19" s="17">
        <f t="shared" si="5"/>
        <v>24.86363636363636</v>
      </c>
      <c r="N19" s="2">
        <f t="shared" si="4"/>
        <v>0.79023403640566303</v>
      </c>
      <c r="O19"/>
    </row>
    <row r="20" spans="1:15">
      <c r="A20" s="4" t="s">
        <v>20</v>
      </c>
      <c r="B20" s="4">
        <v>250</v>
      </c>
      <c r="C20" s="4" t="s">
        <v>55</v>
      </c>
      <c r="D20" s="4">
        <v>1</v>
      </c>
      <c r="E20" s="15">
        <f>+Chiusura[[#This Row],[TOTALE]]/Chiusura[[#This Row],[QUANTITA'']]</f>
        <v>3.5</v>
      </c>
      <c r="F20" s="16">
        <v>3.5</v>
      </c>
      <c r="G20" s="4" t="str">
        <f t="shared" si="0"/>
        <v>FANTA</v>
      </c>
      <c r="H20" s="4" t="str">
        <f t="shared" si="2"/>
        <v>--BIBITE--</v>
      </c>
      <c r="I20" s="16">
        <f t="shared" si="3"/>
        <v>3.1818181818181817</v>
      </c>
      <c r="J20" s="5">
        <f t="shared" si="1"/>
        <v>2.0189434580463548E-3</v>
      </c>
      <c r="K20" s="17">
        <f>IFERROR(INDEX('FOOD-DRINK COST'!E:E,MATCH('CHIUSURA'!B20,'FOOD-DRINK COST'!C:C,0)),0)</f>
        <v>0.59767500000000007</v>
      </c>
      <c r="L20" s="17">
        <f>Chiusura[[#This Row],[COSTO UNITARIO]]*D20</f>
        <v>0.59767500000000007</v>
      </c>
      <c r="M20" s="17">
        <f t="shared" si="5"/>
        <v>2.5841431818181815</v>
      </c>
      <c r="N20" s="2">
        <f t="shared" si="4"/>
        <v>0.81215928571428564</v>
      </c>
      <c r="O20"/>
    </row>
    <row r="21" spans="1:15" ht="15.75" customHeight="1">
      <c r="A21" s="4" t="s">
        <v>31</v>
      </c>
      <c r="B21" s="4">
        <v>209</v>
      </c>
      <c r="C21" s="4" t="s">
        <v>55</v>
      </c>
      <c r="D21" s="4">
        <v>1</v>
      </c>
      <c r="E21" s="15">
        <f>+Chiusura[[#This Row],[TOTALE]]/Chiusura[[#This Row],[QUANTITA'']]</f>
        <v>3.5</v>
      </c>
      <c r="F21" s="16">
        <v>3.5</v>
      </c>
      <c r="G21" s="4" t="str">
        <f t="shared" si="0"/>
        <v>SPRITE</v>
      </c>
      <c r="H21" s="4" t="str">
        <f t="shared" si="2"/>
        <v>--BIBITE--</v>
      </c>
      <c r="I21" s="16">
        <f t="shared" si="3"/>
        <v>3.1818181818181817</v>
      </c>
      <c r="J21" s="5">
        <f t="shared" si="1"/>
        <v>2.0189434580463548E-3</v>
      </c>
      <c r="K21" s="17">
        <f>IFERROR(INDEX('FOOD-DRINK COST'!E:E,MATCH('CHIUSURA'!B21,'FOOD-DRINK COST'!C:C,0)),0)</f>
        <v>0.66</v>
      </c>
      <c r="L21" s="17">
        <f>Chiusura[[#This Row],[COSTO UNITARIO]]*D21</f>
        <v>0.66</v>
      </c>
      <c r="M21" s="17">
        <f t="shared" si="5"/>
        <v>2.5218181818181815</v>
      </c>
      <c r="N21" s="2">
        <f t="shared" si="4"/>
        <v>0.79257142857142848</v>
      </c>
      <c r="O21"/>
    </row>
    <row r="22" spans="1:15" ht="15.75" customHeight="1">
      <c r="A22" s="4" t="s">
        <v>56</v>
      </c>
      <c r="B22" s="4">
        <v>202</v>
      </c>
      <c r="C22" s="4" t="s">
        <v>55</v>
      </c>
      <c r="D22" s="4">
        <v>1</v>
      </c>
      <c r="E22" s="15">
        <f>+Chiusura[[#This Row],[TOTALE]]/Chiusura[[#This Row],[QUANTITA'']]</f>
        <v>0.27</v>
      </c>
      <c r="F22" s="16">
        <v>0.27</v>
      </c>
      <c r="G22" s="4" t="str">
        <f t="shared" si="0"/>
        <v>ACQUA BICC NAT</v>
      </c>
      <c r="H22" s="4" t="str">
        <f t="shared" si="2"/>
        <v>--BIBITE--</v>
      </c>
      <c r="I22" s="16">
        <f t="shared" si="3"/>
        <v>0.24545454545454545</v>
      </c>
      <c r="J22" s="5">
        <f t="shared" si="1"/>
        <v>1.5574706676357595E-4</v>
      </c>
      <c r="K22" s="17">
        <f>IFERROR(INDEX('FOOD-DRINK COST'!E:E,MATCH('CHIUSURA'!B22,'FOOD-DRINK COST'!C:C,0)),0)</f>
        <v>0.13661041666666665</v>
      </c>
      <c r="L22" s="17">
        <f>Chiusura[[#This Row],[COSTO UNITARIO]]*D22</f>
        <v>0.13661041666666665</v>
      </c>
      <c r="M22" s="17">
        <f t="shared" si="5"/>
        <v>0.1088441287878788</v>
      </c>
      <c r="N22" s="2">
        <f t="shared" si="4"/>
        <v>0.44343904320987659</v>
      </c>
      <c r="O22"/>
    </row>
    <row r="23" spans="1:15" ht="15.75" customHeight="1">
      <c r="A23" s="4" t="s">
        <v>62</v>
      </c>
      <c r="B23" s="4">
        <v>204</v>
      </c>
      <c r="C23" s="4" t="s">
        <v>55</v>
      </c>
      <c r="D23" s="4">
        <v>2</v>
      </c>
      <c r="E23" s="15">
        <f>+Chiusura[[#This Row],[TOTALE]]/Chiusura[[#This Row],[QUANTITA'']]</f>
        <v>1.5</v>
      </c>
      <c r="F23" s="16">
        <v>3</v>
      </c>
      <c r="G23" s="4" t="str">
        <f t="shared" si="0"/>
        <v>ACQUA NAT 0,50</v>
      </c>
      <c r="H23" s="4" t="str">
        <f t="shared" si="2"/>
        <v>--BIBITE--</v>
      </c>
      <c r="I23" s="16">
        <f t="shared" si="3"/>
        <v>2.7272727272727271</v>
      </c>
      <c r="J23" s="5">
        <f t="shared" si="1"/>
        <v>1.7305229640397326E-3</v>
      </c>
      <c r="K23" s="17">
        <f>IFERROR(INDEX('FOOD-DRINK COST'!E:E,MATCH('CHIUSURA'!B23,'FOOD-DRINK COST'!C:C,0)),0)</f>
        <v>0.27325416666666663</v>
      </c>
      <c r="L23" s="17">
        <f>Chiusura[[#This Row],[COSTO UNITARIO]]*D23</f>
        <v>0.54650833333333326</v>
      </c>
      <c r="M23" s="17">
        <f t="shared" si="5"/>
        <v>2.1807643939393939</v>
      </c>
      <c r="N23" s="2">
        <f t="shared" si="4"/>
        <v>0.79961361111111118</v>
      </c>
      <c r="O23"/>
    </row>
    <row r="24" spans="1:15" ht="15.75" customHeight="1">
      <c r="A24" s="4" t="s">
        <v>13</v>
      </c>
      <c r="B24" s="4">
        <v>303</v>
      </c>
      <c r="C24" s="4" t="s">
        <v>66</v>
      </c>
      <c r="D24" s="4">
        <v>2</v>
      </c>
      <c r="E24" s="15">
        <f>+Chiusura[[#This Row],[TOTALE]]/Chiusura[[#This Row],[QUANTITA'']]</f>
        <v>3.15</v>
      </c>
      <c r="F24" s="16">
        <v>6.3</v>
      </c>
      <c r="G24" s="4" t="str">
        <f t="shared" si="0"/>
        <v>COCKTAIL SANPELLEGRINO</v>
      </c>
      <c r="H24" s="4" t="str">
        <f t="shared" si="2"/>
        <v>--APERITIVI--</v>
      </c>
      <c r="I24" s="16">
        <f t="shared" si="3"/>
        <v>5.7272727272727266</v>
      </c>
      <c r="J24" s="5">
        <f t="shared" si="1"/>
        <v>3.6340982244834385E-3</v>
      </c>
      <c r="K24" s="17">
        <f>IFERROR(INDEX('FOOD-DRINK COST'!E:E,MATCH('CHIUSURA'!B24,'FOOD-DRINK COST'!C:C,0)),0)</f>
        <v>0.61475000000000002</v>
      </c>
      <c r="L24" s="17">
        <f>Chiusura[[#This Row],[COSTO UNITARIO]]*D24</f>
        <v>1.2295</v>
      </c>
      <c r="M24" s="17">
        <f t="shared" si="5"/>
        <v>4.4977727272727268</v>
      </c>
      <c r="N24" s="2">
        <f t="shared" si="4"/>
        <v>0.78532539682539682</v>
      </c>
      <c r="O24"/>
    </row>
    <row r="25" spans="1:15" ht="15.75" customHeight="1">
      <c r="A25" s="4" t="s">
        <v>285</v>
      </c>
      <c r="B25" s="4">
        <v>320</v>
      </c>
      <c r="C25" s="4" t="s">
        <v>66</v>
      </c>
      <c r="D25" s="4">
        <v>7</v>
      </c>
      <c r="E25" s="15">
        <f>+Chiusura[[#This Row],[TOTALE]]/Chiusura[[#This Row],[QUANTITA'']]</f>
        <v>8</v>
      </c>
      <c r="F25" s="16">
        <v>56</v>
      </c>
      <c r="G25" s="4" t="str">
        <f t="shared" si="0"/>
        <v>SPRITZ APEROL</v>
      </c>
      <c r="H25" s="4" t="str">
        <f t="shared" si="2"/>
        <v>--APERITIVI--</v>
      </c>
      <c r="I25" s="16">
        <f t="shared" si="3"/>
        <v>50.909090909090907</v>
      </c>
      <c r="J25" s="5">
        <f t="shared" si="1"/>
        <v>3.2303095328741677E-2</v>
      </c>
      <c r="K25" s="17">
        <f>IFERROR(INDEX('FOOD-DRINK COST'!E:E,MATCH('CHIUSURA'!B25,'FOOD-DRINK COST'!C:C,0)),0)</f>
        <v>1.81</v>
      </c>
      <c r="L25" s="17">
        <f>Chiusura[[#This Row],[COSTO UNITARIO]]*D25</f>
        <v>12.67</v>
      </c>
      <c r="M25" s="17">
        <f t="shared" si="5"/>
        <v>38.239090909090905</v>
      </c>
      <c r="N25" s="2">
        <f t="shared" si="4"/>
        <v>0.75112499999999993</v>
      </c>
      <c r="O25"/>
    </row>
    <row r="26" spans="1:15" ht="15.75" customHeight="1">
      <c r="A26" s="4" t="s">
        <v>43</v>
      </c>
      <c r="B26" s="4">
        <v>319</v>
      </c>
      <c r="C26" s="4" t="s">
        <v>66</v>
      </c>
      <c r="D26" s="4">
        <v>1</v>
      </c>
      <c r="E26" s="15">
        <f>+Chiusura[[#This Row],[TOTALE]]/Chiusura[[#This Row],[QUANTITA'']]</f>
        <v>8</v>
      </c>
      <c r="F26" s="16">
        <v>8</v>
      </c>
      <c r="G26" s="4" t="str">
        <f t="shared" si="0"/>
        <v>NEGRONI</v>
      </c>
      <c r="H26" s="4" t="str">
        <f t="shared" si="2"/>
        <v>--APERITIVI--</v>
      </c>
      <c r="I26" s="16">
        <f t="shared" si="3"/>
        <v>7.2727272727272725</v>
      </c>
      <c r="J26" s="5">
        <f t="shared" si="1"/>
        <v>4.6147279041059541E-3</v>
      </c>
      <c r="K26" s="17">
        <f>IFERROR(INDEX('FOOD-DRINK COST'!E:E,MATCH('CHIUSURA'!B26,'FOOD-DRINK COST'!C:C,0)),0)</f>
        <v>1.65</v>
      </c>
      <c r="L26" s="17">
        <f>Chiusura[[#This Row],[COSTO UNITARIO]]*D26</f>
        <v>1.65</v>
      </c>
      <c r="M26" s="17">
        <f t="shared" si="5"/>
        <v>5.622727272727273</v>
      </c>
      <c r="N26" s="2">
        <f t="shared" si="4"/>
        <v>0.77312500000000006</v>
      </c>
      <c r="O26"/>
    </row>
    <row r="27" spans="1:15" ht="15.75" customHeight="1">
      <c r="A27" s="4" t="s">
        <v>22</v>
      </c>
      <c r="B27" s="4">
        <v>311</v>
      </c>
      <c r="C27" s="4" t="s">
        <v>66</v>
      </c>
      <c r="D27" s="4">
        <v>14</v>
      </c>
      <c r="E27" s="15">
        <f>+Chiusura[[#This Row],[TOTALE]]/Chiusura[[#This Row],[QUANTITA'']]</f>
        <v>3.5</v>
      </c>
      <c r="F27" s="16">
        <v>49</v>
      </c>
      <c r="G27" s="4" t="str">
        <f t="shared" si="0"/>
        <v>CAMPARI SODA</v>
      </c>
      <c r="H27" s="4" t="str">
        <f t="shared" si="2"/>
        <v>--APERITIVI--</v>
      </c>
      <c r="I27" s="16">
        <f t="shared" si="3"/>
        <v>44.54545454545454</v>
      </c>
      <c r="J27" s="5">
        <f t="shared" si="1"/>
        <v>2.8265208412648964E-2</v>
      </c>
      <c r="K27" s="17">
        <f>IFERROR(INDEX('FOOD-DRINK COST'!E:E,MATCH('CHIUSURA'!B27,'FOOD-DRINK COST'!C:C,0)),0)</f>
        <v>0.95</v>
      </c>
      <c r="L27" s="17">
        <f>Chiusura[[#This Row],[COSTO UNITARIO]]*D27</f>
        <v>13.299999999999999</v>
      </c>
      <c r="M27" s="17">
        <f t="shared" si="5"/>
        <v>31.245454545454542</v>
      </c>
      <c r="N27" s="2">
        <f t="shared" si="4"/>
        <v>0.7014285714285714</v>
      </c>
      <c r="O27"/>
    </row>
    <row r="28" spans="1:15" ht="15.75" customHeight="1">
      <c r="A28" s="4" t="s">
        <v>279</v>
      </c>
      <c r="B28" s="4">
        <v>401</v>
      </c>
      <c r="C28" s="4" t="s">
        <v>11</v>
      </c>
      <c r="D28" s="4">
        <v>23</v>
      </c>
      <c r="E28" s="15">
        <f>+Chiusura[[#This Row],[TOTALE]]/Chiusura[[#This Row],[QUANTITA'']]</f>
        <v>3.3669565217391302</v>
      </c>
      <c r="F28" s="16">
        <v>77.44</v>
      </c>
      <c r="G28" s="4" t="str">
        <f t="shared" si="0"/>
        <v>SPINA HEINEKEN 0,25</v>
      </c>
      <c r="H28" s="4" t="str">
        <f t="shared" si="2"/>
        <v>--BIRRE--</v>
      </c>
      <c r="I28" s="16">
        <f t="shared" si="3"/>
        <v>70.399999999999991</v>
      </c>
      <c r="J28" s="5">
        <f t="shared" si="1"/>
        <v>4.4670566111745628E-2</v>
      </c>
      <c r="K28" s="17">
        <f>IFERROR(INDEX('FOOD-DRINK COST'!E:E,MATCH('CHIUSURA'!B28,'FOOD-DRINK COST'!C:C,0)),0)</f>
        <v>0.875</v>
      </c>
      <c r="L28" s="17">
        <f>Chiusura[[#This Row],[COSTO UNITARIO]]*D28</f>
        <v>20.125</v>
      </c>
      <c r="M28" s="17">
        <f t="shared" si="5"/>
        <v>50.274999999999991</v>
      </c>
      <c r="N28" s="2">
        <f t="shared" si="4"/>
        <v>0.71413352272727271</v>
      </c>
      <c r="O28"/>
    </row>
    <row r="29" spans="1:15" ht="15.75" customHeight="1">
      <c r="A29" s="4" t="s">
        <v>195</v>
      </c>
      <c r="B29" s="4">
        <v>416</v>
      </c>
      <c r="C29" s="4" t="s">
        <v>11</v>
      </c>
      <c r="D29" s="4">
        <v>1</v>
      </c>
      <c r="E29" s="15">
        <f>+Chiusura[[#This Row],[TOTALE]]/Chiusura[[#This Row],[QUANTITA'']]</f>
        <v>4</v>
      </c>
      <c r="F29" s="16">
        <v>4</v>
      </c>
      <c r="G29" s="4" t="str">
        <f t="shared" si="0"/>
        <v>HEINEKEN ANALCOLICA</v>
      </c>
      <c r="H29" s="4" t="str">
        <f t="shared" si="2"/>
        <v>--BIRRE--</v>
      </c>
      <c r="I29" s="16">
        <f t="shared" si="3"/>
        <v>3.6363636363636362</v>
      </c>
      <c r="J29" s="5">
        <f t="shared" si="1"/>
        <v>2.307363952052977E-3</v>
      </c>
      <c r="K29" s="17">
        <f>IFERROR(INDEX('FOOD-DRINK COST'!E:E,MATCH('CHIUSURA'!B29,'FOOD-DRINK COST'!C:C,0)),0)</f>
        <v>0.96875</v>
      </c>
      <c r="L29" s="17">
        <f>Chiusura[[#This Row],[COSTO UNITARIO]]*D29</f>
        <v>0.96875</v>
      </c>
      <c r="M29" s="17">
        <f t="shared" si="5"/>
        <v>2.6676136363636362</v>
      </c>
      <c r="N29" s="2">
        <f t="shared" si="4"/>
        <v>0.73359375000000004</v>
      </c>
      <c r="O29"/>
    </row>
    <row r="30" spans="1:15" ht="15.75" customHeight="1">
      <c r="A30" s="4" t="s">
        <v>277</v>
      </c>
      <c r="B30" s="4">
        <v>407</v>
      </c>
      <c r="C30" s="4" t="s">
        <v>11</v>
      </c>
      <c r="D30" s="4">
        <v>2</v>
      </c>
      <c r="E30" s="15">
        <f>+Chiusura[[#This Row],[TOTALE]]/Chiusura[[#This Row],[QUANTITA'']]</f>
        <v>4</v>
      </c>
      <c r="F30" s="16">
        <v>8</v>
      </c>
      <c r="G30" s="4" t="str">
        <f t="shared" si="0"/>
        <v>SPINA BLANCHE 0,33</v>
      </c>
      <c r="H30" s="4" t="str">
        <f t="shared" si="2"/>
        <v>--BIRRE--</v>
      </c>
      <c r="I30" s="16">
        <f t="shared" si="3"/>
        <v>7.2727272727272725</v>
      </c>
      <c r="J30" s="5">
        <f t="shared" si="1"/>
        <v>4.6147279041059541E-3</v>
      </c>
      <c r="K30" s="17">
        <f>IFERROR(INDEX('FOOD-DRINK COST'!E:E,MATCH('CHIUSURA'!B30,'FOOD-DRINK COST'!C:C,0)),0)</f>
        <v>2.0878000000000001</v>
      </c>
      <c r="L30" s="17">
        <f>Chiusura[[#This Row],[COSTO UNITARIO]]*D30</f>
        <v>4.1756000000000002</v>
      </c>
      <c r="M30" s="17">
        <f t="shared" si="5"/>
        <v>3.0971272727272723</v>
      </c>
      <c r="N30" s="2">
        <f t="shared" si="4"/>
        <v>0.42585499999999993</v>
      </c>
      <c r="O30"/>
    </row>
    <row r="31" spans="1:15" ht="15.75" customHeight="1">
      <c r="A31" s="4" t="s">
        <v>129</v>
      </c>
      <c r="B31" s="4">
        <v>425</v>
      </c>
      <c r="C31" s="4" t="s">
        <v>11</v>
      </c>
      <c r="D31" s="4">
        <v>2</v>
      </c>
      <c r="E31" s="15">
        <f>+Chiusura[[#This Row],[TOTALE]]/Chiusura[[#This Row],[QUANTITA'']]</f>
        <v>12</v>
      </c>
      <c r="F31" s="16">
        <v>24</v>
      </c>
      <c r="G31" s="4" t="str">
        <f t="shared" si="0"/>
        <v>CARAFFA HEINEKEN 1L</v>
      </c>
      <c r="H31" s="4" t="str">
        <f t="shared" si="2"/>
        <v>--BIRRE--</v>
      </c>
      <c r="I31" s="16">
        <f t="shared" si="3"/>
        <v>21.818181818181817</v>
      </c>
      <c r="J31" s="5">
        <f t="shared" si="1"/>
        <v>1.384418371231786E-2</v>
      </c>
      <c r="K31" s="17">
        <f>IFERROR(INDEX('FOOD-DRINK COST'!E:E,MATCH('CHIUSURA'!B31,'FOOD-DRINK COST'!C:C,0)),0)</f>
        <v>3.5</v>
      </c>
      <c r="L31" s="17">
        <f>Chiusura[[#This Row],[COSTO UNITARIO]]*D31</f>
        <v>7</v>
      </c>
      <c r="M31" s="17">
        <f t="shared" si="5"/>
        <v>14.818181818181817</v>
      </c>
      <c r="N31" s="2">
        <f t="shared" si="4"/>
        <v>0.6791666666666667</v>
      </c>
      <c r="O31"/>
    </row>
    <row r="32" spans="1:15" ht="15.75" customHeight="1">
      <c r="A32" s="4" t="s">
        <v>280</v>
      </c>
      <c r="B32" s="4">
        <v>402</v>
      </c>
      <c r="C32" s="4" t="s">
        <v>11</v>
      </c>
      <c r="D32" s="4">
        <v>1</v>
      </c>
      <c r="E32" s="15">
        <f>+Chiusura[[#This Row],[TOTALE]]/Chiusura[[#This Row],[QUANTITA'']]</f>
        <v>5.5</v>
      </c>
      <c r="F32" s="16">
        <v>5.5</v>
      </c>
      <c r="G32" s="4" t="str">
        <f t="shared" si="0"/>
        <v>SPINA HEINEKEN 0,50</v>
      </c>
      <c r="H32" s="4" t="str">
        <f t="shared" si="2"/>
        <v>--BIRRE--</v>
      </c>
      <c r="I32" s="16">
        <f t="shared" si="3"/>
        <v>5</v>
      </c>
      <c r="J32" s="5">
        <f t="shared" si="1"/>
        <v>3.1726254340728433E-3</v>
      </c>
      <c r="K32" s="17">
        <f>IFERROR(INDEX('FOOD-DRINK COST'!E:E,MATCH('CHIUSURA'!B32,'FOOD-DRINK COST'!C:C,0)),0)</f>
        <v>1.75</v>
      </c>
      <c r="L32" s="17">
        <f>Chiusura[[#This Row],[COSTO UNITARIO]]*D32</f>
        <v>1.75</v>
      </c>
      <c r="M32" s="17">
        <f t="shared" si="5"/>
        <v>3.25</v>
      </c>
      <c r="N32" s="2">
        <f t="shared" si="4"/>
        <v>0.65</v>
      </c>
      <c r="O32"/>
    </row>
    <row r="33" spans="1:15" ht="15.75" customHeight="1">
      <c r="A33" s="4" t="s">
        <v>205</v>
      </c>
      <c r="B33" s="4">
        <v>614</v>
      </c>
      <c r="C33" s="4" t="s">
        <v>64</v>
      </c>
      <c r="D33" s="4">
        <v>1</v>
      </c>
      <c r="E33" s="15">
        <f>+Chiusura[[#This Row],[TOTALE]]/Chiusura[[#This Row],[QUANTITA'']]</f>
        <v>3.1</v>
      </c>
      <c r="F33" s="16">
        <v>3.1</v>
      </c>
      <c r="G33" s="4" t="str">
        <f t="shared" si="0"/>
        <v>LIMONCINO</v>
      </c>
      <c r="H33" s="4" t="str">
        <f t="shared" si="2"/>
        <v>--AMARI E LIQUORI--</v>
      </c>
      <c r="I33" s="16">
        <f t="shared" si="3"/>
        <v>2.8181818181818179</v>
      </c>
      <c r="J33" s="5">
        <f t="shared" si="1"/>
        <v>1.788207062841057E-3</v>
      </c>
      <c r="K33" s="17">
        <f>IFERROR(INDEX('FOOD-DRINK COST'!E:E,MATCH('CHIUSURA'!B33,'FOOD-DRINK COST'!C:C,0)),0)</f>
        <v>0.49199999999999999</v>
      </c>
      <c r="L33" s="17">
        <f>Chiusura[[#This Row],[COSTO UNITARIO]]*D33</f>
        <v>0.49199999999999999</v>
      </c>
      <c r="M33" s="17">
        <f t="shared" si="5"/>
        <v>2.3261818181818179</v>
      </c>
      <c r="N33" s="2">
        <f t="shared" si="4"/>
        <v>0.82541935483870965</v>
      </c>
      <c r="O33"/>
    </row>
    <row r="34" spans="1:15" ht="15.75" customHeight="1">
      <c r="A34" s="4" t="s">
        <v>21</v>
      </c>
      <c r="B34" s="4">
        <v>506</v>
      </c>
      <c r="C34" s="4" t="s">
        <v>64</v>
      </c>
      <c r="D34" s="4">
        <v>5</v>
      </c>
      <c r="E34" s="15">
        <f>+Chiusura[[#This Row],[TOTALE]]/Chiusura[[#This Row],[QUANTITA'']]</f>
        <v>3.0460000000000003</v>
      </c>
      <c r="F34" s="16">
        <v>15.23</v>
      </c>
      <c r="G34" s="4" t="str">
        <f t="shared" ref="G34:G36" si="6">IF(OR(A34="Coperto",A34="Servizio"),"",A34)</f>
        <v>BRANCA MENTA</v>
      </c>
      <c r="H34" s="4" t="str">
        <f t="shared" si="2"/>
        <v>--AMARI E LIQUORI--</v>
      </c>
      <c r="I34" s="16">
        <f t="shared" si="3"/>
        <v>13.845454545454544</v>
      </c>
      <c r="J34" s="5">
        <f t="shared" ref="J34:J65" si="7">I34/$I$74</f>
        <v>8.78528824744171E-3</v>
      </c>
      <c r="K34" s="17">
        <f>IFERROR(INDEX('FOOD-DRINK COST'!E:E,MATCH('CHIUSURA'!B34,'FOOD-DRINK COST'!C:C,0)),0)</f>
        <v>0.90149999999999997</v>
      </c>
      <c r="L34" s="17">
        <f>Chiusura[[#This Row],[COSTO UNITARIO]]*D34</f>
        <v>4.5075000000000003</v>
      </c>
      <c r="M34" s="17">
        <f t="shared" si="5"/>
        <v>9.3379545454545436</v>
      </c>
      <c r="N34" s="2">
        <f t="shared" si="4"/>
        <v>0.67444189100459617</v>
      </c>
      <c r="O34"/>
    </row>
    <row r="35" spans="1:15" ht="15.75" customHeight="1">
      <c r="A35" s="4" t="s">
        <v>221</v>
      </c>
      <c r="B35" s="4">
        <v>615</v>
      </c>
      <c r="C35" s="4" t="s">
        <v>64</v>
      </c>
      <c r="D35" s="4">
        <v>4</v>
      </c>
      <c r="E35" s="15">
        <f>+Chiusura[[#This Row],[TOTALE]]/Chiusura[[#This Row],[QUANTITA'']]</f>
        <v>3.1524999999999999</v>
      </c>
      <c r="F35" s="16">
        <v>12.61</v>
      </c>
      <c r="G35" s="4" t="str">
        <f t="shared" si="6"/>
        <v>MIRTO ROSSO</v>
      </c>
      <c r="H35" s="4" t="str">
        <f t="shared" ref="H35:H36" si="8">IF(OR(C35="Cliente",C35="Servizio"),"",C35)</f>
        <v>--AMARI E LIQUORI--</v>
      </c>
      <c r="I35" s="16">
        <f t="shared" si="3"/>
        <v>11.463636363636363</v>
      </c>
      <c r="J35" s="5">
        <f t="shared" si="7"/>
        <v>7.27396485884701E-3</v>
      </c>
      <c r="K35" s="17">
        <f>IFERROR(INDEX('FOOD-DRINK COST'!E:E,MATCH('CHIUSURA'!B35,'FOOD-DRINK COST'!C:C,0)),0)</f>
        <v>0.49199999999999999</v>
      </c>
      <c r="L35" s="17">
        <f>Chiusura[[#This Row],[COSTO UNITARIO]]*D35</f>
        <v>1.968</v>
      </c>
      <c r="M35" s="17">
        <f t="shared" si="5"/>
        <v>9.495636363636363</v>
      </c>
      <c r="N35" s="2">
        <f t="shared" si="4"/>
        <v>0.82832672482157021</v>
      </c>
      <c r="O35"/>
    </row>
    <row r="36" spans="1:15" ht="15.75" customHeight="1">
      <c r="A36" s="4" t="s">
        <v>79</v>
      </c>
      <c r="B36" s="4">
        <v>618</v>
      </c>
      <c r="C36" s="4" t="s">
        <v>64</v>
      </c>
      <c r="D36" s="4">
        <v>2</v>
      </c>
      <c r="E36" s="15">
        <f>+Chiusura[[#This Row],[TOTALE]]/Chiusura[[#This Row],[QUANTITA'']]</f>
        <v>3.5</v>
      </c>
      <c r="F36" s="16">
        <v>7</v>
      </c>
      <c r="G36" s="4" t="str">
        <f t="shared" si="6"/>
        <v>BAYLES</v>
      </c>
      <c r="H36" s="4" t="str">
        <f t="shared" si="8"/>
        <v>--AMARI E LIQUORI--</v>
      </c>
      <c r="I36" s="16">
        <f t="shared" si="3"/>
        <v>6.3636363636363633</v>
      </c>
      <c r="J36" s="5">
        <f t="shared" si="7"/>
        <v>4.0378869160927096E-3</v>
      </c>
      <c r="K36" s="17">
        <f>IFERROR(INDEX('FOOD-DRINK COST'!E:E,MATCH('CHIUSURA'!B36,'FOOD-DRINK COST'!C:C,0)),0)</f>
        <v>0.67584999999999995</v>
      </c>
      <c r="L36" s="17">
        <f>Chiusura[[#This Row],[COSTO UNITARIO]]*D36</f>
        <v>1.3516999999999999</v>
      </c>
      <c r="M36" s="17">
        <f t="shared" si="5"/>
        <v>5.0119363636363632</v>
      </c>
      <c r="N36" s="2">
        <f t="shared" si="4"/>
        <v>0.78759000000000001</v>
      </c>
      <c r="O36"/>
    </row>
    <row r="37" spans="1:15" ht="15.75" customHeight="1">
      <c r="A37" s="4" t="s">
        <v>23</v>
      </c>
      <c r="B37" s="94">
        <v>507</v>
      </c>
      <c r="C37" s="4" t="s">
        <v>64</v>
      </c>
      <c r="D37" s="4">
        <v>2</v>
      </c>
      <c r="E37" s="15">
        <f>+Chiusura[[#This Row],[TOTALE]]/Chiusura[[#This Row],[QUANTITA'']]</f>
        <v>3.5</v>
      </c>
      <c r="F37" s="16">
        <v>7</v>
      </c>
      <c r="G37" s="95" t="str">
        <f t="shared" ref="G37:G47" si="9">IF(OR(A37="Coperto",A37="Servizio"),"",A37)</f>
        <v>CYNAR</v>
      </c>
      <c r="H37" s="96" t="str">
        <f t="shared" ref="H37:H47" si="10">IF(OR(C37="Cliente",C37="Servizio"),"",C37)</f>
        <v>--AMARI E LIQUORI--</v>
      </c>
      <c r="I37" s="16">
        <f t="shared" si="3"/>
        <v>6.3636363636363633</v>
      </c>
      <c r="J37" s="5">
        <f t="shared" si="7"/>
        <v>4.0378869160927096E-3</v>
      </c>
      <c r="K37" s="17">
        <f>IFERROR(INDEX('FOOD-DRINK COST'!E:E,MATCH('CHIUSURA'!B37,'FOOD-DRINK COST'!C:C,0)),0)</f>
        <v>0.56804999999999994</v>
      </c>
      <c r="L37" s="17">
        <f>Chiusura[[#This Row],[COSTO UNITARIO]]*D37</f>
        <v>1.1360999999999999</v>
      </c>
      <c r="M37" s="17">
        <f t="shared" ref="M37:M47" si="11">IF(K37=0,0,(I37-L37))</f>
        <v>5.2275363636363634</v>
      </c>
      <c r="N37" s="2">
        <f t="shared" ref="N37:N47" si="12">IFERROR(M37/I37,0)</f>
        <v>0.82147000000000003</v>
      </c>
      <c r="O37"/>
    </row>
    <row r="38" spans="1:15" ht="15.75" customHeight="1">
      <c r="A38" s="4" t="s">
        <v>65</v>
      </c>
      <c r="B38" s="94">
        <v>514</v>
      </c>
      <c r="C38" s="4" t="s">
        <v>64</v>
      </c>
      <c r="D38" s="4">
        <v>8</v>
      </c>
      <c r="E38" s="15">
        <f>+Chiusura[[#This Row],[TOTALE]]/Chiusura[[#This Row],[QUANTITA'']]</f>
        <v>3.5</v>
      </c>
      <c r="F38" s="16">
        <v>28</v>
      </c>
      <c r="G38" s="95" t="str">
        <f t="shared" si="9"/>
        <v>AMARO DEL CAPO</v>
      </c>
      <c r="H38" s="96" t="str">
        <f t="shared" si="10"/>
        <v>--AMARI E LIQUORI--</v>
      </c>
      <c r="I38" s="16">
        <f t="shared" si="3"/>
        <v>25.454545454545453</v>
      </c>
      <c r="J38" s="5">
        <f t="shared" si="7"/>
        <v>1.6151547664370838E-2</v>
      </c>
      <c r="K38" s="17">
        <f>IFERROR(INDEX('FOOD-DRINK COST'!E:E,MATCH('CHIUSURA'!B38,'FOOD-DRINK COST'!C:C,0)),0)</f>
        <v>0.67130000000000001</v>
      </c>
      <c r="L38" s="17">
        <f>Chiusura[[#This Row],[COSTO UNITARIO]]*D38</f>
        <v>5.3704000000000001</v>
      </c>
      <c r="M38" s="17">
        <f t="shared" si="11"/>
        <v>20.084145454545453</v>
      </c>
      <c r="N38" s="2">
        <f t="shared" si="12"/>
        <v>0.78901999999999994</v>
      </c>
      <c r="O38"/>
    </row>
    <row r="39" spans="1:15" ht="15.75" customHeight="1">
      <c r="A39" s="4" t="s">
        <v>38</v>
      </c>
      <c r="B39" s="94">
        <v>1007</v>
      </c>
      <c r="C39" s="4" t="s">
        <v>175</v>
      </c>
      <c r="D39" s="4">
        <v>6</v>
      </c>
      <c r="E39" s="15">
        <f>+Chiusura[[#This Row],[TOTALE]]/Chiusura[[#This Row],[QUANTITA'']]</f>
        <v>12</v>
      </c>
      <c r="F39" s="16">
        <v>72</v>
      </c>
      <c r="G39" s="95" t="str">
        <f t="shared" si="9"/>
        <v>GIN MARE</v>
      </c>
      <c r="H39" s="96" t="str">
        <f t="shared" si="10"/>
        <v>--GIN--</v>
      </c>
      <c r="I39" s="16">
        <f t="shared" si="3"/>
        <v>65.454545454545453</v>
      </c>
      <c r="J39" s="5">
        <f t="shared" si="7"/>
        <v>4.1532551136953588E-2</v>
      </c>
      <c r="K39" s="17">
        <f>IFERROR(INDEX('FOOD-DRINK COST'!E:E,MATCH('CHIUSURA'!B39,'FOOD-DRINK COST'!C:C,0)),0)</f>
        <v>2.95</v>
      </c>
      <c r="L39" s="17">
        <f>Chiusura[[#This Row],[COSTO UNITARIO]]*D39</f>
        <v>17.700000000000003</v>
      </c>
      <c r="M39" s="17">
        <f t="shared" si="11"/>
        <v>47.75454545454545</v>
      </c>
      <c r="N39" s="2">
        <f t="shared" si="12"/>
        <v>0.72958333333333325</v>
      </c>
      <c r="O39"/>
    </row>
    <row r="40" spans="1:15" ht="15.75" customHeight="1">
      <c r="A40" s="4" t="s">
        <v>622</v>
      </c>
      <c r="B40" s="94">
        <v>12660</v>
      </c>
      <c r="C40" s="4" t="s">
        <v>145</v>
      </c>
      <c r="D40" s="4">
        <v>2</v>
      </c>
      <c r="E40" s="15">
        <f>+Chiusura[[#This Row],[TOTALE]]/Chiusura[[#This Row],[QUANTITA'']]</f>
        <v>2.5</v>
      </c>
      <c r="F40" s="16">
        <v>5</v>
      </c>
      <c r="G40" s="95" t="str">
        <f t="shared" si="9"/>
        <v>SHOT</v>
      </c>
      <c r="H40" s="96" t="str">
        <f t="shared" si="10"/>
        <v>--COCKTAIL--</v>
      </c>
      <c r="I40" s="16">
        <f t="shared" si="3"/>
        <v>4.545454545454545</v>
      </c>
      <c r="J40" s="5">
        <f t="shared" si="7"/>
        <v>2.8842049400662211E-3</v>
      </c>
      <c r="K40" s="17">
        <f>IFERROR(INDEX('FOOD-DRINK COST'!E:E,MATCH('CHIUSURA'!B40,'FOOD-DRINK COST'!C:C,0)),0)</f>
        <v>0.4</v>
      </c>
      <c r="L40" s="17">
        <f>Chiusura[[#This Row],[COSTO UNITARIO]]*D40</f>
        <v>0.8</v>
      </c>
      <c r="M40" s="17">
        <f t="shared" si="11"/>
        <v>3.7454545454545451</v>
      </c>
      <c r="N40" s="2">
        <f t="shared" si="12"/>
        <v>0.82400000000000007</v>
      </c>
      <c r="O40"/>
    </row>
    <row r="41" spans="1:15" ht="15.75" customHeight="1">
      <c r="A41" s="4" t="s">
        <v>644</v>
      </c>
      <c r="B41" s="94">
        <v>1613</v>
      </c>
      <c r="C41" s="4" t="s">
        <v>90</v>
      </c>
      <c r="D41" s="4">
        <v>4</v>
      </c>
      <c r="E41" s="15">
        <f>+Chiusura[[#This Row],[TOTALE]]/Chiusura[[#This Row],[QUANTITA'']]</f>
        <v>4</v>
      </c>
      <c r="F41" s="16">
        <v>16</v>
      </c>
      <c r="G41" s="95" t="str">
        <f t="shared" si="9"/>
        <v>CALICE BLU</v>
      </c>
      <c r="H41" s="96" t="str">
        <f t="shared" si="10"/>
        <v>--VINI BIANCHI--</v>
      </c>
      <c r="I41" s="16">
        <f t="shared" si="3"/>
        <v>14.545454545454545</v>
      </c>
      <c r="J41" s="5">
        <f t="shared" si="7"/>
        <v>9.2294558082119081E-3</v>
      </c>
      <c r="K41" s="17">
        <f>IFERROR(INDEX('FOOD-DRINK COST'!E:E,MATCH('CHIUSURA'!B41,'FOOD-DRINK COST'!C:C,0)),0)</f>
        <v>0</v>
      </c>
      <c r="L41" s="17">
        <f>Chiusura[[#This Row],[COSTO UNITARIO]]*D41</f>
        <v>0</v>
      </c>
      <c r="M41" s="17">
        <f t="shared" si="11"/>
        <v>0</v>
      </c>
      <c r="N41" s="2">
        <f t="shared" si="12"/>
        <v>0</v>
      </c>
      <c r="O41"/>
    </row>
    <row r="42" spans="1:15" ht="15.75" customHeight="1">
      <c r="A42" s="4" t="s">
        <v>106</v>
      </c>
      <c r="B42" s="94">
        <v>1603</v>
      </c>
      <c r="C42" s="4" t="s">
        <v>90</v>
      </c>
      <c r="D42" s="4">
        <v>1</v>
      </c>
      <c r="E42" s="15">
        <f>+Chiusura[[#This Row],[TOTALE]]/Chiusura[[#This Row],[QUANTITA'']]</f>
        <v>24</v>
      </c>
      <c r="F42" s="16">
        <v>24</v>
      </c>
      <c r="G42" s="95" t="str">
        <f t="shared" si="9"/>
        <v>CALA REALE BOTTIGLIA</v>
      </c>
      <c r="H42" s="96" t="str">
        <f t="shared" si="10"/>
        <v>--VINI BIANCHI--</v>
      </c>
      <c r="I42" s="16">
        <f t="shared" si="3"/>
        <v>21.818181818181817</v>
      </c>
      <c r="J42" s="5">
        <f t="shared" si="7"/>
        <v>1.384418371231786E-2</v>
      </c>
      <c r="K42" s="17">
        <f>IFERROR(INDEX('FOOD-DRINK COST'!E:E,MATCH('CHIUSURA'!B42,'FOOD-DRINK COST'!C:C,0)),0)</f>
        <v>8.36</v>
      </c>
      <c r="L42" s="17">
        <f>Chiusura[[#This Row],[COSTO UNITARIO]]*D42</f>
        <v>8.36</v>
      </c>
      <c r="M42" s="17">
        <f t="shared" si="11"/>
        <v>13.458181818181817</v>
      </c>
      <c r="N42" s="2">
        <f t="shared" si="12"/>
        <v>0.61683333333333334</v>
      </c>
      <c r="O42"/>
    </row>
    <row r="43" spans="1:15" ht="15.75" customHeight="1">
      <c r="A43" s="4" t="s">
        <v>648</v>
      </c>
      <c r="B43" s="94">
        <v>1615</v>
      </c>
      <c r="C43" s="4" t="s">
        <v>90</v>
      </c>
      <c r="D43" s="4">
        <v>2</v>
      </c>
      <c r="E43" s="15">
        <f>+Chiusura[[#This Row],[TOTALE]]/Chiusura[[#This Row],[QUANTITA'']]</f>
        <v>6</v>
      </c>
      <c r="F43" s="16">
        <v>12</v>
      </c>
      <c r="G43" s="95" t="str">
        <f t="shared" si="9"/>
        <v>CALICE GEWURZTRAMINER</v>
      </c>
      <c r="H43" s="96" t="str">
        <f t="shared" si="10"/>
        <v>--VINI BIANCHI--</v>
      </c>
      <c r="I43" s="16">
        <f t="shared" si="3"/>
        <v>10.909090909090908</v>
      </c>
      <c r="J43" s="5">
        <f t="shared" si="7"/>
        <v>6.9220918561589302E-3</v>
      </c>
      <c r="K43" s="17">
        <f>IFERROR(INDEX('FOOD-DRINK COST'!E:E,MATCH('CHIUSURA'!B43,'FOOD-DRINK COST'!C:C,0)),0)</f>
        <v>0</v>
      </c>
      <c r="L43" s="17">
        <f>Chiusura[[#This Row],[COSTO UNITARIO]]*D43</f>
        <v>0</v>
      </c>
      <c r="M43" s="17">
        <f t="shared" si="11"/>
        <v>0</v>
      </c>
      <c r="N43" s="2">
        <f t="shared" si="12"/>
        <v>0</v>
      </c>
      <c r="O43"/>
    </row>
    <row r="44" spans="1:15" ht="15.75" customHeight="1">
      <c r="A44" s="4" t="s">
        <v>121</v>
      </c>
      <c r="B44" s="94">
        <v>1602</v>
      </c>
      <c r="C44" s="4" t="s">
        <v>90</v>
      </c>
      <c r="D44" s="4">
        <v>4</v>
      </c>
      <c r="E44" s="15">
        <f>+Chiusura[[#This Row],[TOTALE]]/Chiusura[[#This Row],[QUANTITA'']]</f>
        <v>5</v>
      </c>
      <c r="F44" s="16">
        <v>20</v>
      </c>
      <c r="G44" s="95" t="str">
        <f t="shared" si="9"/>
        <v>CALICE VINO BIANCO</v>
      </c>
      <c r="H44" s="96" t="str">
        <f t="shared" si="10"/>
        <v>--VINI BIANCHI--</v>
      </c>
      <c r="I44" s="16">
        <f t="shared" si="3"/>
        <v>18.18181818181818</v>
      </c>
      <c r="J44" s="5">
        <f t="shared" si="7"/>
        <v>1.1536819760264884E-2</v>
      </c>
      <c r="K44" s="17">
        <f>IFERROR(INDEX('FOOD-DRINK COST'!E:E,MATCH('CHIUSURA'!B44,'FOOD-DRINK COST'!C:C,0)),0)</f>
        <v>1.1100000000000001</v>
      </c>
      <c r="L44" s="17">
        <f>Chiusura[[#This Row],[COSTO UNITARIO]]*D44</f>
        <v>4.4400000000000004</v>
      </c>
      <c r="M44" s="17">
        <f t="shared" si="11"/>
        <v>13.741818181818179</v>
      </c>
      <c r="N44" s="2">
        <f t="shared" si="12"/>
        <v>0.75579999999999992</v>
      </c>
      <c r="O44"/>
    </row>
    <row r="45" spans="1:15" ht="15.75" customHeight="1">
      <c r="A45" s="4" t="s">
        <v>114</v>
      </c>
      <c r="B45" s="94">
        <v>1706</v>
      </c>
      <c r="C45" s="4" t="s">
        <v>88</v>
      </c>
      <c r="D45" s="4">
        <v>7</v>
      </c>
      <c r="E45" s="15">
        <f>+Chiusura[[#This Row],[TOTALE]]/Chiusura[[#This Row],[QUANTITA'']]</f>
        <v>5</v>
      </c>
      <c r="F45" s="16">
        <v>35</v>
      </c>
      <c r="G45" s="95" t="str">
        <f t="shared" si="9"/>
        <v>CALICE KRESSIA</v>
      </c>
      <c r="H45" s="96" t="str">
        <f t="shared" si="10"/>
        <v>--VINI ROSSI E ROSATI--</v>
      </c>
      <c r="I45" s="16">
        <f t="shared" si="3"/>
        <v>31.818181818181817</v>
      </c>
      <c r="J45" s="5">
        <f t="shared" si="7"/>
        <v>2.0189434580463548E-2</v>
      </c>
      <c r="K45" s="17">
        <f>IFERROR(INDEX('FOOD-DRINK COST'!E:E,MATCH('CHIUSURA'!B45,'FOOD-DRINK COST'!C:C,0)),0)</f>
        <v>1.276</v>
      </c>
      <c r="L45" s="17">
        <f>Chiusura[[#This Row],[COSTO UNITARIO]]*D45</f>
        <v>8.9320000000000004</v>
      </c>
      <c r="M45" s="17">
        <f t="shared" si="11"/>
        <v>22.886181818181818</v>
      </c>
      <c r="N45" s="2">
        <f t="shared" si="12"/>
        <v>0.71928000000000003</v>
      </c>
      <c r="O45"/>
    </row>
    <row r="46" spans="1:15" ht="15.75" customHeight="1">
      <c r="A46" s="4" t="s">
        <v>109</v>
      </c>
      <c r="B46" s="94">
        <v>1709</v>
      </c>
      <c r="C46" s="4" t="s">
        <v>88</v>
      </c>
      <c r="D46" s="4">
        <v>2</v>
      </c>
      <c r="E46" s="15">
        <f>+Chiusura[[#This Row],[TOTALE]]/Chiusura[[#This Row],[QUANTITA'']]</f>
        <v>6.6150000000000002</v>
      </c>
      <c r="F46" s="16">
        <v>13.23</v>
      </c>
      <c r="G46" s="95" t="str">
        <f t="shared" si="9"/>
        <v>CALICE BOVALE</v>
      </c>
      <c r="H46" s="96" t="str">
        <f t="shared" si="10"/>
        <v>--VINI ROSSI E ROSATI--</v>
      </c>
      <c r="I46" s="16">
        <f t="shared" si="3"/>
        <v>12.027272727272727</v>
      </c>
      <c r="J46" s="5">
        <f t="shared" si="7"/>
        <v>7.6316062714152219E-3</v>
      </c>
      <c r="K46" s="17">
        <f>IFERROR(INDEX('FOOD-DRINK COST'!E:E,MATCH('CHIUSURA'!B46,'FOOD-DRINK COST'!C:C,0)),0)</f>
        <v>1.0053333333333334</v>
      </c>
      <c r="L46" s="17">
        <f>Chiusura[[#This Row],[COSTO UNITARIO]]*D46</f>
        <v>2.0106666666666668</v>
      </c>
      <c r="M46" s="17">
        <f t="shared" si="11"/>
        <v>10.01660606060606</v>
      </c>
      <c r="N46" s="2">
        <f t="shared" si="12"/>
        <v>0.83282438901486511</v>
      </c>
      <c r="O46"/>
    </row>
    <row r="47" spans="1:15" ht="15.75" customHeight="1">
      <c r="A47" s="4" t="s">
        <v>642</v>
      </c>
      <c r="B47" s="94">
        <v>1720</v>
      </c>
      <c r="C47" s="4" t="s">
        <v>88</v>
      </c>
      <c r="D47" s="4">
        <v>1</v>
      </c>
      <c r="E47" s="15">
        <f>+Chiusura[[#This Row],[TOTALE]]/Chiusura[[#This Row],[QUANTITA'']]</f>
        <v>5</v>
      </c>
      <c r="F47" s="16">
        <v>5</v>
      </c>
      <c r="G47" s="95" t="str">
        <f t="shared" si="9"/>
        <v>CALICE AKENTA ROSE</v>
      </c>
      <c r="H47" s="96" t="str">
        <f t="shared" si="10"/>
        <v>--VINI ROSSI E ROSATI--</v>
      </c>
      <c r="I47" s="16">
        <f t="shared" si="3"/>
        <v>4.545454545454545</v>
      </c>
      <c r="J47" s="5">
        <f t="shared" si="7"/>
        <v>2.8842049400662211E-3</v>
      </c>
      <c r="K47" s="17">
        <f>IFERROR(INDEX('FOOD-DRINK COST'!E:E,MATCH('CHIUSURA'!B47,'FOOD-DRINK COST'!C:C,0)),0)</f>
        <v>0</v>
      </c>
      <c r="L47" s="17">
        <f>Chiusura[[#This Row],[COSTO UNITARIO]]*D47</f>
        <v>0</v>
      </c>
      <c r="M47" s="17">
        <f t="shared" si="11"/>
        <v>0</v>
      </c>
      <c r="N47" s="2">
        <f t="shared" si="12"/>
        <v>0</v>
      </c>
      <c r="O47"/>
    </row>
    <row r="48" spans="1:15" ht="15.75" customHeight="1">
      <c r="A48" s="4" t="s">
        <v>122</v>
      </c>
      <c r="B48" s="98">
        <v>1702</v>
      </c>
      <c r="C48" s="4" t="s">
        <v>88</v>
      </c>
      <c r="D48" s="4">
        <v>3</v>
      </c>
      <c r="E48" s="15">
        <f>+Chiusura[[#This Row],[TOTALE]]/Chiusura[[#This Row],[QUANTITA'']]</f>
        <v>5</v>
      </c>
      <c r="F48" s="16">
        <v>15</v>
      </c>
      <c r="G48" s="99" t="str">
        <f t="shared" ref="G48:G69" si="13">IF(OR(A48="Coperto",A48="Servizio"),"",A48)</f>
        <v>CALICE VINO ROSSO</v>
      </c>
      <c r="H48" s="100" t="str">
        <f t="shared" ref="H48:H69" si="14">IF(OR(C48="Cliente",C48="Servizio"),"",C48)</f>
        <v>--VINI ROSSI E ROSATI--</v>
      </c>
      <c r="I48" s="16">
        <f t="shared" si="3"/>
        <v>13.636363636363635</v>
      </c>
      <c r="J48" s="5">
        <f t="shared" si="7"/>
        <v>8.6526148201986636E-3</v>
      </c>
      <c r="K48" s="17">
        <f>IFERROR(INDEX('FOOD-DRINK COST'!E:E,MATCH('CHIUSURA'!B48,'FOOD-DRINK COST'!C:C,0)),0)</f>
        <v>1.2</v>
      </c>
      <c r="L48" s="17">
        <f>Chiusura[[#This Row],[COSTO UNITARIO]]*D48</f>
        <v>3.5999999999999996</v>
      </c>
      <c r="M48" s="17">
        <f t="shared" ref="M48:M69" si="15">IF(K48=0,0,(I48-L48))</f>
        <v>10.036363636363635</v>
      </c>
      <c r="N48" s="2">
        <f t="shared" ref="N48:N69" si="16">IFERROR(M48/I48,0)</f>
        <v>0.73599999999999999</v>
      </c>
    </row>
    <row r="49" spans="1:16" ht="15.75" customHeight="1">
      <c r="A49" s="4" t="s">
        <v>308</v>
      </c>
      <c r="B49" s="98">
        <v>2005</v>
      </c>
      <c r="C49" s="4" t="s">
        <v>171</v>
      </c>
      <c r="D49" s="4">
        <v>1</v>
      </c>
      <c r="E49" s="15">
        <f>+Chiusura[[#This Row],[TOTALE]]/Chiusura[[#This Row],[QUANTITA'']]</f>
        <v>2</v>
      </c>
      <c r="F49" s="16">
        <v>2</v>
      </c>
      <c r="G49" s="99" t="str">
        <f t="shared" si="13"/>
        <v>TRAMEZZINO</v>
      </c>
      <c r="H49" s="100" t="str">
        <f t="shared" si="14"/>
        <v>--SNACK E MERENDA--</v>
      </c>
      <c r="I49" s="16">
        <f t="shared" si="3"/>
        <v>1.8181818181818181</v>
      </c>
      <c r="J49" s="5">
        <f t="shared" si="7"/>
        <v>1.1536819760264885E-3</v>
      </c>
      <c r="K49" s="17">
        <f>IFERROR(INDEX('FOOD-DRINK COST'!E:E,MATCH('CHIUSURA'!B49,'FOOD-DRINK COST'!C:C,0)),0)</f>
        <v>0.90909090909090906</v>
      </c>
      <c r="L49" s="17">
        <f>Chiusura[[#This Row],[COSTO UNITARIO]]*D49</f>
        <v>0.90909090909090906</v>
      </c>
      <c r="M49" s="17">
        <f t="shared" si="15"/>
        <v>0.90909090909090906</v>
      </c>
      <c r="N49" s="2">
        <f t="shared" si="16"/>
        <v>0.5</v>
      </c>
      <c r="P49" s="2"/>
    </row>
    <row r="50" spans="1:16" ht="15.75" customHeight="1">
      <c r="A50" s="4" t="s">
        <v>649</v>
      </c>
      <c r="B50" s="98">
        <v>3006</v>
      </c>
      <c r="C50" s="4" t="s">
        <v>9</v>
      </c>
      <c r="D50" s="4">
        <v>9</v>
      </c>
      <c r="E50" s="15">
        <f>+Chiusura[[#This Row],[TOTALE]]/Chiusura[[#This Row],[QUANTITA'']]</f>
        <v>25.15</v>
      </c>
      <c r="F50" s="16">
        <v>226.35</v>
      </c>
      <c r="G50" s="99" t="str">
        <f t="shared" si="13"/>
        <v>MENU GASTRONOMIA</v>
      </c>
      <c r="H50" s="100" t="str">
        <f t="shared" si="14"/>
        <v>--ANTIPASTI--</v>
      </c>
      <c r="I50" s="16">
        <f t="shared" si="3"/>
        <v>205.77272727272725</v>
      </c>
      <c r="J50" s="5">
        <f t="shared" si="7"/>
        <v>0.13056795763679782</v>
      </c>
      <c r="K50" s="17">
        <f>IFERROR(INDEX('FOOD-DRINK COST'!E:E,MATCH('CHIUSURA'!B50,'FOOD-DRINK COST'!C:C,0)),0)</f>
        <v>9</v>
      </c>
      <c r="L50" s="17">
        <f>Chiusura[[#This Row],[COSTO UNITARIO]]*D50</f>
        <v>81</v>
      </c>
      <c r="M50" s="17">
        <f t="shared" si="15"/>
        <v>124.77272727272725</v>
      </c>
      <c r="N50" s="2">
        <f t="shared" si="16"/>
        <v>0.6063618290258449</v>
      </c>
      <c r="P50" s="2"/>
    </row>
    <row r="51" spans="1:16" ht="15.75" customHeight="1">
      <c r="A51" s="4" t="s">
        <v>67</v>
      </c>
      <c r="B51" s="98">
        <v>3004</v>
      </c>
      <c r="C51" s="4" t="s">
        <v>9</v>
      </c>
      <c r="D51" s="4">
        <v>2</v>
      </c>
      <c r="E51" s="15">
        <f>+Chiusura[[#This Row],[TOTALE]]/Chiusura[[#This Row],[QUANTITA'']]</f>
        <v>10</v>
      </c>
      <c r="F51" s="16">
        <v>20</v>
      </c>
      <c r="G51" s="99" t="str">
        <f t="shared" si="13"/>
        <v>ANTIPASTO DEL GIORNO</v>
      </c>
      <c r="H51" s="100" t="str">
        <f t="shared" si="14"/>
        <v>--ANTIPASTI--</v>
      </c>
      <c r="I51" s="16">
        <f t="shared" si="3"/>
        <v>18.18181818181818</v>
      </c>
      <c r="J51" s="5">
        <f t="shared" si="7"/>
        <v>1.1536819760264884E-2</v>
      </c>
      <c r="K51" s="17">
        <f>IFERROR(INDEX('FOOD-DRINK COST'!E:E,MATCH('CHIUSURA'!B51,'FOOD-DRINK COST'!C:C,0)),0)</f>
        <v>4.2363636363636363</v>
      </c>
      <c r="L51" s="17">
        <f>Chiusura[[#This Row],[COSTO UNITARIO]]*D51</f>
        <v>8.4727272727272727</v>
      </c>
      <c r="M51" s="17">
        <f t="shared" si="15"/>
        <v>9.7090909090909072</v>
      </c>
      <c r="N51" s="2">
        <f t="shared" si="16"/>
        <v>0.53399999999999992</v>
      </c>
      <c r="P51" s="2"/>
    </row>
    <row r="52" spans="1:16" ht="15.75" customHeight="1">
      <c r="A52" s="4" t="s">
        <v>250</v>
      </c>
      <c r="B52" s="98">
        <v>3001</v>
      </c>
      <c r="C52" s="4" t="s">
        <v>9</v>
      </c>
      <c r="D52" s="4">
        <v>2</v>
      </c>
      <c r="E52" s="15">
        <f>+Chiusura[[#This Row],[TOTALE]]/Chiusura[[#This Row],[QUANTITA'']]</f>
        <v>12</v>
      </c>
      <c r="F52" s="16">
        <v>24</v>
      </c>
      <c r="G52" s="99" t="str">
        <f t="shared" si="13"/>
        <v>POLPETTE ALLA CARBONARA</v>
      </c>
      <c r="H52" s="100" t="str">
        <f t="shared" si="14"/>
        <v>--ANTIPASTI--</v>
      </c>
      <c r="I52" s="16">
        <f t="shared" si="3"/>
        <v>21.818181818181817</v>
      </c>
      <c r="J52" s="5">
        <f t="shared" si="7"/>
        <v>1.384418371231786E-2</v>
      </c>
      <c r="K52" s="17">
        <f>IFERROR(INDEX('FOOD-DRINK COST'!E:E,MATCH('CHIUSURA'!B52,'FOOD-DRINK COST'!C:C,0)),0)</f>
        <v>2.7272727272727271</v>
      </c>
      <c r="L52" s="17">
        <f>Chiusura[[#This Row],[COSTO UNITARIO]]*D52</f>
        <v>5.4545454545454541</v>
      </c>
      <c r="M52" s="17">
        <f t="shared" si="15"/>
        <v>16.363636363636363</v>
      </c>
      <c r="N52" s="2">
        <f t="shared" si="16"/>
        <v>0.75</v>
      </c>
      <c r="O52" s="17"/>
      <c r="P52" s="2"/>
    </row>
    <row r="53" spans="1:16" ht="15.75" customHeight="1">
      <c r="A53" s="4" t="s">
        <v>650</v>
      </c>
      <c r="B53" s="98">
        <v>3106</v>
      </c>
      <c r="C53" s="4" t="s">
        <v>183</v>
      </c>
      <c r="D53" s="4">
        <v>5</v>
      </c>
      <c r="E53" s="15">
        <f>+Chiusura[[#This Row],[TOTALE]]/Chiusura[[#This Row],[QUANTITA'']]</f>
        <v>7.4</v>
      </c>
      <c r="F53" s="16">
        <v>37</v>
      </c>
      <c r="G53" s="99" t="str">
        <f t="shared" si="13"/>
        <v>PRIMO DEL GIORNO CON ACQUA</v>
      </c>
      <c r="H53" s="100" t="str">
        <f t="shared" si="14"/>
        <v>--PRIMI--</v>
      </c>
      <c r="I53" s="16">
        <f t="shared" si="3"/>
        <v>33.636363636363633</v>
      </c>
      <c r="J53" s="5">
        <f t="shared" si="7"/>
        <v>2.1343116556490037E-2</v>
      </c>
      <c r="K53" s="17">
        <f>IFERROR(INDEX('FOOD-DRINK COST'!E:E,MATCH('CHIUSURA'!B53,'FOOD-DRINK COST'!C:C,0)),0)</f>
        <v>5.1454545454545455</v>
      </c>
      <c r="L53" s="17">
        <f>Chiusura[[#This Row],[COSTO UNITARIO]]*D53</f>
        <v>25.727272727272727</v>
      </c>
      <c r="M53" s="17">
        <f t="shared" si="15"/>
        <v>7.9090909090909065</v>
      </c>
      <c r="N53" s="2">
        <f t="shared" si="16"/>
        <v>0.23513513513513509</v>
      </c>
      <c r="O53" s="17"/>
      <c r="P53" s="2"/>
    </row>
    <row r="54" spans="1:16" ht="15.75" customHeight="1">
      <c r="A54" s="4" t="s">
        <v>260</v>
      </c>
      <c r="B54" s="98">
        <v>3103</v>
      </c>
      <c r="C54" s="4" t="s">
        <v>183</v>
      </c>
      <c r="D54" s="4">
        <v>1</v>
      </c>
      <c r="E54" s="15">
        <f>+Chiusura[[#This Row],[TOTALE]]/Chiusura[[#This Row],[QUANTITA'']]</f>
        <v>15</v>
      </c>
      <c r="F54" s="16">
        <v>15</v>
      </c>
      <c r="G54" s="99" t="str">
        <f t="shared" si="13"/>
        <v>RIGATONI ALLA CARBONARA</v>
      </c>
      <c r="H54" s="100" t="str">
        <f t="shared" si="14"/>
        <v>--PRIMI--</v>
      </c>
      <c r="I54" s="16">
        <f t="shared" si="3"/>
        <v>13.636363636363635</v>
      </c>
      <c r="J54" s="5">
        <f t="shared" si="7"/>
        <v>8.6526148201986636E-3</v>
      </c>
      <c r="K54" s="17">
        <f>IFERROR(INDEX('FOOD-DRINK COST'!E:E,MATCH('CHIUSURA'!B54,'FOOD-DRINK COST'!C:C,0)),0)</f>
        <v>4.8484848484848477</v>
      </c>
      <c r="L54" s="17">
        <f>Chiusura[[#This Row],[COSTO UNITARIO]]*D54</f>
        <v>4.8484848484848477</v>
      </c>
      <c r="M54" s="17">
        <f t="shared" si="15"/>
        <v>8.7878787878787872</v>
      </c>
      <c r="N54" s="2">
        <f t="shared" si="16"/>
        <v>0.64444444444444449</v>
      </c>
      <c r="O54" s="17"/>
      <c r="P54" s="2"/>
    </row>
    <row r="55" spans="1:16" ht="15.75" customHeight="1">
      <c r="A55" s="4" t="s">
        <v>257</v>
      </c>
      <c r="B55" s="98">
        <v>3102</v>
      </c>
      <c r="C55" s="4" t="s">
        <v>183</v>
      </c>
      <c r="D55" s="4">
        <v>1</v>
      </c>
      <c r="E55" s="15">
        <f>+Chiusura[[#This Row],[TOTALE]]/Chiusura[[#This Row],[QUANTITA'']]</f>
        <v>18</v>
      </c>
      <c r="F55" s="16">
        <v>18</v>
      </c>
      <c r="G55" s="99" t="str">
        <f t="shared" si="13"/>
        <v>REGINETTE IMPERIALI</v>
      </c>
      <c r="H55" s="100" t="str">
        <f t="shared" si="14"/>
        <v>--PRIMI--</v>
      </c>
      <c r="I55" s="16">
        <f t="shared" si="3"/>
        <v>16.363636363636363</v>
      </c>
      <c r="J55" s="5">
        <f t="shared" si="7"/>
        <v>1.0383137784238397E-2</v>
      </c>
      <c r="K55" s="17">
        <f>IFERROR(INDEX('FOOD-DRINK COST'!E:E,MATCH('CHIUSURA'!B55,'FOOD-DRINK COST'!C:C,0)),0)</f>
        <v>5.4545454545454541</v>
      </c>
      <c r="L55" s="17">
        <f>Chiusura[[#This Row],[COSTO UNITARIO]]*D55</f>
        <v>5.4545454545454541</v>
      </c>
      <c r="M55" s="17">
        <f t="shared" si="15"/>
        <v>10.90909090909091</v>
      </c>
      <c r="N55" s="2">
        <f t="shared" si="16"/>
        <v>0.66666666666666674</v>
      </c>
      <c r="O55" s="17"/>
      <c r="P55" s="2"/>
    </row>
    <row r="56" spans="1:16" ht="15.75" customHeight="1">
      <c r="A56" s="4" t="s">
        <v>651</v>
      </c>
      <c r="B56" s="98">
        <v>3211</v>
      </c>
      <c r="C56" s="4" t="s">
        <v>150</v>
      </c>
      <c r="D56" s="4">
        <v>3</v>
      </c>
      <c r="E56" s="15">
        <f>+Chiusura[[#This Row],[TOTALE]]/Chiusura[[#This Row],[QUANTITA'']]</f>
        <v>12.223333333333334</v>
      </c>
      <c r="F56" s="16">
        <v>36.67</v>
      </c>
      <c r="G56" s="99" t="str">
        <f t="shared" si="13"/>
        <v>SECONDO DEL GIORNO CON ACQUA</v>
      </c>
      <c r="H56" s="100" t="str">
        <f t="shared" si="14"/>
        <v>--SECONDI--</v>
      </c>
      <c r="I56" s="16">
        <f t="shared" si="3"/>
        <v>33.336363636363636</v>
      </c>
      <c r="J56" s="5">
        <f t="shared" si="7"/>
        <v>2.1152759030445667E-2</v>
      </c>
      <c r="K56" s="17">
        <f>IFERROR(INDEX('FOOD-DRINK COST'!E:E,MATCH('CHIUSURA'!B56,'FOOD-DRINK COST'!C:C,0)),0)</f>
        <v>9.0909090909090899</v>
      </c>
      <c r="L56" s="17">
        <f>Chiusura[[#This Row],[COSTO UNITARIO]]*D56</f>
        <v>27.27272727272727</v>
      </c>
      <c r="M56" s="17">
        <f t="shared" si="15"/>
        <v>6.0636363636363662</v>
      </c>
      <c r="N56" s="2">
        <f t="shared" si="16"/>
        <v>0.18189255522225259</v>
      </c>
      <c r="O56" s="17"/>
      <c r="P56" s="2"/>
    </row>
    <row r="57" spans="1:16" ht="15.75" customHeight="1">
      <c r="A57" s="4" t="s">
        <v>274</v>
      </c>
      <c r="B57" s="98">
        <v>3214</v>
      </c>
      <c r="C57" s="4" t="s">
        <v>150</v>
      </c>
      <c r="D57" s="4">
        <v>3</v>
      </c>
      <c r="E57" s="15">
        <f>+Chiusura[[#This Row],[TOTALE]]/Chiusura[[#This Row],[QUANTITA'']]</f>
        <v>19.333333333333332</v>
      </c>
      <c r="F57" s="16">
        <v>58</v>
      </c>
      <c r="G57" s="99" t="str">
        <f t="shared" si="13"/>
        <v>SECONDO DEL GIORNO</v>
      </c>
      <c r="H57" s="100" t="str">
        <f t="shared" si="14"/>
        <v>--SECONDI--</v>
      </c>
      <c r="I57" s="16">
        <f t="shared" si="3"/>
        <v>52.72727272727272</v>
      </c>
      <c r="J57" s="5">
        <f t="shared" si="7"/>
        <v>3.3456777304768162E-2</v>
      </c>
      <c r="K57" s="17">
        <f>IFERROR(INDEX('FOOD-DRINK COST'!E:E,MATCH('CHIUSURA'!B57,'FOOD-DRINK COST'!C:C,0)),0)</f>
        <v>0</v>
      </c>
      <c r="L57" s="17">
        <f>Chiusura[[#This Row],[COSTO UNITARIO]]*D57</f>
        <v>0</v>
      </c>
      <c r="M57" s="17">
        <f t="shared" si="15"/>
        <v>0</v>
      </c>
      <c r="N57" s="2">
        <f t="shared" si="16"/>
        <v>0</v>
      </c>
      <c r="O57" s="17"/>
      <c r="P57" s="2"/>
    </row>
    <row r="58" spans="1:16" ht="15.75" customHeight="1">
      <c r="A58" s="4" t="s">
        <v>153</v>
      </c>
      <c r="B58" s="98">
        <v>3210</v>
      </c>
      <c r="C58" s="4" t="s">
        <v>150</v>
      </c>
      <c r="D58" s="4">
        <v>1</v>
      </c>
      <c r="E58" s="15">
        <f>+Chiusura[[#This Row],[TOTALE]]/Chiusura[[#This Row],[QUANTITA'']]</f>
        <v>12.56</v>
      </c>
      <c r="F58" s="16">
        <v>12.56</v>
      </c>
      <c r="G58" s="99" t="str">
        <f t="shared" si="13"/>
        <v>COTOLETTA DI MAIALE</v>
      </c>
      <c r="H58" s="100" t="str">
        <f t="shared" si="14"/>
        <v>--SECONDI--</v>
      </c>
      <c r="I58" s="16">
        <f t="shared" si="3"/>
        <v>11.418181818181818</v>
      </c>
      <c r="J58" s="5">
        <f t="shared" si="7"/>
        <v>7.2451228094463482E-3</v>
      </c>
      <c r="K58" s="17">
        <f>IFERROR(INDEX('FOOD-DRINK COST'!E:E,MATCH('CHIUSURA'!B58,'FOOD-DRINK COST'!C:C,0)),0)</f>
        <v>4.2424242424242422</v>
      </c>
      <c r="L58" s="17">
        <f>Chiusura[[#This Row],[COSTO UNITARIO]]*D58</f>
        <v>4.2424242424242422</v>
      </c>
      <c r="M58" s="17">
        <f t="shared" si="15"/>
        <v>7.1757575757575758</v>
      </c>
      <c r="N58" s="2">
        <f t="shared" si="16"/>
        <v>0.6284501061571125</v>
      </c>
      <c r="O58" s="17"/>
      <c r="P58" s="2"/>
    </row>
    <row r="59" spans="1:16" ht="15.75" customHeight="1">
      <c r="A59" s="4" t="s">
        <v>149</v>
      </c>
      <c r="B59" s="98">
        <v>3205</v>
      </c>
      <c r="C59" s="4" t="s">
        <v>150</v>
      </c>
      <c r="D59" s="4">
        <v>2</v>
      </c>
      <c r="E59" s="15">
        <f>+Chiusura[[#This Row],[TOTALE]]/Chiusura[[#This Row],[QUANTITA'']]</f>
        <v>26</v>
      </c>
      <c r="F59" s="16">
        <v>52</v>
      </c>
      <c r="G59" s="99" t="str">
        <f t="shared" si="13"/>
        <v>COSTATA DI SCOTTONA</v>
      </c>
      <c r="H59" s="100" t="str">
        <f t="shared" si="14"/>
        <v>--SECONDI--</v>
      </c>
      <c r="I59" s="16">
        <f t="shared" si="3"/>
        <v>47.272727272727266</v>
      </c>
      <c r="J59" s="5">
        <f t="shared" si="7"/>
        <v>2.9995731376688699E-2</v>
      </c>
      <c r="K59" s="17">
        <f>IFERROR(INDEX('FOOD-DRINK COST'!E:E,MATCH('CHIUSURA'!B59,'FOOD-DRINK COST'!C:C,0)),0)</f>
        <v>15.318181818181815</v>
      </c>
      <c r="L59" s="17">
        <f>Chiusura[[#This Row],[COSTO UNITARIO]]*D59</f>
        <v>30.63636363636363</v>
      </c>
      <c r="M59" s="17">
        <f t="shared" si="15"/>
        <v>16.636363636363637</v>
      </c>
      <c r="N59" s="2">
        <f t="shared" si="16"/>
        <v>0.35192307692307701</v>
      </c>
      <c r="O59" s="17"/>
      <c r="P59" s="2"/>
    </row>
    <row r="60" spans="1:16" ht="15.75" customHeight="1">
      <c r="A60" s="4" t="s">
        <v>293</v>
      </c>
      <c r="B60" s="98">
        <v>3204</v>
      </c>
      <c r="C60" s="4" t="s">
        <v>150</v>
      </c>
      <c r="D60" s="4">
        <v>1</v>
      </c>
      <c r="E60" s="15">
        <f>+Chiusura[[#This Row],[TOTALE]]/Chiusura[[#This Row],[QUANTITA'']]</f>
        <v>18</v>
      </c>
      <c r="F60" s="16">
        <v>18</v>
      </c>
      <c r="G60" s="99" t="str">
        <f t="shared" si="13"/>
        <v>TAGLIATA DI MANZO</v>
      </c>
      <c r="H60" s="100" t="str">
        <f t="shared" si="14"/>
        <v>--SECONDI--</v>
      </c>
      <c r="I60" s="16">
        <f t="shared" si="3"/>
        <v>16.363636363636363</v>
      </c>
      <c r="J60" s="5">
        <f t="shared" si="7"/>
        <v>1.0383137784238397E-2</v>
      </c>
      <c r="K60" s="17">
        <f>IFERROR(INDEX('FOOD-DRINK COST'!E:E,MATCH('CHIUSURA'!B60,'FOOD-DRINK COST'!C:C,0)),0)</f>
        <v>5.4545454545454541</v>
      </c>
      <c r="L60" s="17">
        <f>Chiusura[[#This Row],[COSTO UNITARIO]]*D60</f>
        <v>5.4545454545454541</v>
      </c>
      <c r="M60" s="17">
        <f t="shared" si="15"/>
        <v>10.90909090909091</v>
      </c>
      <c r="N60" s="2">
        <f t="shared" si="16"/>
        <v>0.66666666666666674</v>
      </c>
      <c r="O60" s="17"/>
      <c r="P60" s="2"/>
    </row>
    <row r="61" spans="1:16" ht="15.75" customHeight="1">
      <c r="A61" s="4" t="s">
        <v>643</v>
      </c>
      <c r="B61" s="98">
        <v>3303</v>
      </c>
      <c r="C61" s="4" t="s">
        <v>96</v>
      </c>
      <c r="D61" s="4">
        <v>4</v>
      </c>
      <c r="E61" s="15">
        <f>+Chiusura[[#This Row],[TOTALE]]/Chiusura[[#This Row],[QUANTITA'']]</f>
        <v>9</v>
      </c>
      <c r="F61" s="16">
        <v>36</v>
      </c>
      <c r="G61" s="99" t="str">
        <f t="shared" si="13"/>
        <v>HAMBURGER PANINO</v>
      </c>
      <c r="H61" s="100" t="str">
        <f t="shared" si="14"/>
        <v>--BURGER MENU--</v>
      </c>
      <c r="I61" s="16">
        <f t="shared" si="3"/>
        <v>32.727272727272727</v>
      </c>
      <c r="J61" s="5">
        <f t="shared" si="7"/>
        <v>2.0766275568476794E-2</v>
      </c>
      <c r="K61" s="17">
        <f>IFERROR(INDEX('FOOD-DRINK COST'!E:E,MATCH('CHIUSURA'!B61,'FOOD-DRINK COST'!C:C,0)),0)</f>
        <v>2.7272727272727271</v>
      </c>
      <c r="L61" s="17">
        <f>Chiusura[[#This Row],[COSTO UNITARIO]]*D61</f>
        <v>10.909090909090908</v>
      </c>
      <c r="M61" s="17">
        <f t="shared" si="15"/>
        <v>21.81818181818182</v>
      </c>
      <c r="N61" s="2">
        <f t="shared" si="16"/>
        <v>0.66666666666666674</v>
      </c>
      <c r="O61" s="17"/>
      <c r="P61" s="2"/>
    </row>
    <row r="62" spans="1:16" ht="15.75" customHeight="1">
      <c r="A62" s="4" t="s">
        <v>95</v>
      </c>
      <c r="B62" s="98">
        <v>3301</v>
      </c>
      <c r="C62" s="4" t="s">
        <v>96</v>
      </c>
      <c r="D62" s="4">
        <v>2</v>
      </c>
      <c r="E62" s="15">
        <f>+Chiusura[[#This Row],[TOTALE]]/Chiusura[[#This Row],[QUANTITA'']]</f>
        <v>9</v>
      </c>
      <c r="F62" s="16">
        <v>18</v>
      </c>
      <c r="G62" s="99" t="str">
        <f t="shared" si="13"/>
        <v>BREAD AND PORK</v>
      </c>
      <c r="H62" s="100" t="str">
        <f t="shared" si="14"/>
        <v>--BURGER MENU--</v>
      </c>
      <c r="I62" s="16">
        <f t="shared" si="3"/>
        <v>16.363636363636363</v>
      </c>
      <c r="J62" s="5">
        <f t="shared" si="7"/>
        <v>1.0383137784238397E-2</v>
      </c>
      <c r="K62" s="17">
        <f>IFERROR(INDEX('FOOD-DRINK COST'!E:E,MATCH('CHIUSURA'!B62,'FOOD-DRINK COST'!C:C,0)),0)</f>
        <v>2.7272727272727271</v>
      </c>
      <c r="L62" s="17">
        <f>Chiusura[[#This Row],[COSTO UNITARIO]]*D62</f>
        <v>5.4545454545454541</v>
      </c>
      <c r="M62" s="17">
        <f t="shared" si="15"/>
        <v>10.90909090909091</v>
      </c>
      <c r="N62" s="2">
        <f t="shared" si="16"/>
        <v>0.66666666666666674</v>
      </c>
      <c r="O62" s="17"/>
      <c r="P62" s="2"/>
    </row>
    <row r="63" spans="1:16" ht="15.75" customHeight="1">
      <c r="A63" s="4" t="s">
        <v>245</v>
      </c>
      <c r="B63" s="98">
        <v>3401</v>
      </c>
      <c r="C63" s="4" t="s">
        <v>10</v>
      </c>
      <c r="D63" s="4">
        <v>1</v>
      </c>
      <c r="E63" s="15">
        <f>+Chiusura[[#This Row],[TOTALE]]/Chiusura[[#This Row],[QUANTITA'']]</f>
        <v>5</v>
      </c>
      <c r="F63" s="16">
        <v>5</v>
      </c>
      <c r="G63" s="99" t="str">
        <f t="shared" si="13"/>
        <v>PATATE FRITTE</v>
      </c>
      <c r="H63" s="100" t="str">
        <f t="shared" si="14"/>
        <v>--CONTORNI--</v>
      </c>
      <c r="I63" s="16">
        <f t="shared" si="3"/>
        <v>4.545454545454545</v>
      </c>
      <c r="J63" s="5">
        <f t="shared" si="7"/>
        <v>2.8842049400662211E-3</v>
      </c>
      <c r="K63" s="17">
        <f>IFERROR(INDEX('FOOD-DRINK COST'!E:E,MATCH('CHIUSURA'!B63,'FOOD-DRINK COST'!C:C,0)),0)</f>
        <v>1.5151515151515151</v>
      </c>
      <c r="L63" s="17">
        <f>Chiusura[[#This Row],[COSTO UNITARIO]]*D63</f>
        <v>1.5151515151515151</v>
      </c>
      <c r="M63" s="17">
        <f t="shared" si="15"/>
        <v>3.0303030303030298</v>
      </c>
      <c r="N63" s="2">
        <f t="shared" si="16"/>
        <v>0.66666666666666663</v>
      </c>
      <c r="O63" s="17"/>
      <c r="P63" s="2"/>
    </row>
    <row r="64" spans="1:16" ht="15.75" customHeight="1">
      <c r="A64" s="4" t="s">
        <v>197</v>
      </c>
      <c r="B64" s="98">
        <v>3502</v>
      </c>
      <c r="C64" s="4" t="s">
        <v>134</v>
      </c>
      <c r="D64" s="4">
        <v>1</v>
      </c>
      <c r="E64" s="15">
        <f>+Chiusura[[#This Row],[TOTALE]]/Chiusura[[#This Row],[QUANTITA'']]</f>
        <v>12</v>
      </c>
      <c r="F64" s="16">
        <v>12</v>
      </c>
      <c r="G64" s="99" t="str">
        <f t="shared" si="13"/>
        <v>INSALATA DELLA CASA</v>
      </c>
      <c r="H64" s="100" t="str">
        <f t="shared" si="14"/>
        <v>--INSALATE--</v>
      </c>
      <c r="I64" s="16">
        <f t="shared" si="3"/>
        <v>10.909090909090908</v>
      </c>
      <c r="J64" s="5">
        <f t="shared" si="7"/>
        <v>6.9220918561589302E-3</v>
      </c>
      <c r="K64" s="17">
        <f>IFERROR(INDEX('FOOD-DRINK COST'!E:E,MATCH('CHIUSURA'!B64,'FOOD-DRINK COST'!C:C,0)),0)</f>
        <v>3.6363636363636362</v>
      </c>
      <c r="L64" s="17">
        <f>Chiusura[[#This Row],[COSTO UNITARIO]]*D64</f>
        <v>3.6363636363636362</v>
      </c>
      <c r="M64" s="17">
        <f t="shared" si="15"/>
        <v>7.2727272727272716</v>
      </c>
      <c r="N64" s="2">
        <f t="shared" si="16"/>
        <v>0.66666666666666663</v>
      </c>
      <c r="O64" s="17"/>
      <c r="P64" s="2"/>
    </row>
    <row r="65" spans="1:16" ht="15.75" customHeight="1">
      <c r="A65" s="4" t="s">
        <v>328</v>
      </c>
      <c r="B65" s="98">
        <v>3503</v>
      </c>
      <c r="C65" s="4" t="s">
        <v>134</v>
      </c>
      <c r="D65" s="4">
        <v>1</v>
      </c>
      <c r="E65" s="15">
        <f>+Chiusura[[#This Row],[TOTALE]]/Chiusura[[#This Row],[QUANTITA'']]</f>
        <v>10</v>
      </c>
      <c r="F65" s="16">
        <v>10</v>
      </c>
      <c r="G65" s="99" t="str">
        <f t="shared" si="13"/>
        <v>CAPRESE</v>
      </c>
      <c r="H65" s="100" t="str">
        <f t="shared" si="14"/>
        <v>--INSALATE--</v>
      </c>
      <c r="I65" s="16">
        <f t="shared" si="3"/>
        <v>9.0909090909090899</v>
      </c>
      <c r="J65" s="5">
        <f t="shared" si="7"/>
        <v>5.7684098801324421E-3</v>
      </c>
      <c r="K65" s="17">
        <f>IFERROR(INDEX('FOOD-DRINK COST'!E:E,MATCH('CHIUSURA'!B65,'FOOD-DRINK COST'!C:C,0)),0)</f>
        <v>3.0303030303030303</v>
      </c>
      <c r="L65" s="17">
        <f>Chiusura[[#This Row],[COSTO UNITARIO]]*D65</f>
        <v>3.0303030303030303</v>
      </c>
      <c r="M65" s="17">
        <f t="shared" si="15"/>
        <v>6.0606060606060597</v>
      </c>
      <c r="N65" s="2">
        <f t="shared" si="16"/>
        <v>0.66666666666666663</v>
      </c>
      <c r="O65" s="17"/>
      <c r="P65" s="2"/>
    </row>
    <row r="66" spans="1:16" ht="15.75" customHeight="1">
      <c r="A66" s="4" t="s">
        <v>151</v>
      </c>
      <c r="B66" s="98">
        <v>3606</v>
      </c>
      <c r="C66" s="4" t="s">
        <v>152</v>
      </c>
      <c r="D66" s="4">
        <v>1</v>
      </c>
      <c r="E66" s="15">
        <f>+Chiusura[[#This Row],[TOTALE]]/Chiusura[[#This Row],[QUANTITA'']]</f>
        <v>10</v>
      </c>
      <c r="F66" s="16">
        <v>10</v>
      </c>
      <c r="G66" s="99" t="str">
        <f t="shared" si="13"/>
        <v>COTOLETTA BABY</v>
      </c>
      <c r="H66" s="100" t="str">
        <f t="shared" si="14"/>
        <v>--BABY--</v>
      </c>
      <c r="I66" s="16">
        <f t="shared" si="3"/>
        <v>9.0909090909090899</v>
      </c>
      <c r="J66" s="5">
        <f t="shared" ref="J66:J97" si="17">I66/$I$74</f>
        <v>5.7684098801324421E-3</v>
      </c>
      <c r="K66" s="17">
        <f>IFERROR(INDEX('FOOD-DRINK COST'!E:E,MATCH('CHIUSURA'!B66,'FOOD-DRINK COST'!C:C,0)),0)</f>
        <v>3.0303030303030303</v>
      </c>
      <c r="L66" s="17">
        <f>Chiusura[[#This Row],[COSTO UNITARIO]]*D66</f>
        <v>3.0303030303030303</v>
      </c>
      <c r="M66" s="17">
        <f t="shared" si="15"/>
        <v>6.0606060606060597</v>
      </c>
      <c r="N66" s="2">
        <f t="shared" si="16"/>
        <v>0.66666666666666663</v>
      </c>
      <c r="O66" s="17"/>
      <c r="P66" s="2"/>
    </row>
    <row r="67" spans="1:16" ht="15.75" customHeight="1">
      <c r="A67" s="4" t="s">
        <v>303</v>
      </c>
      <c r="B67" s="98">
        <v>4020</v>
      </c>
      <c r="C67" s="4" t="s">
        <v>137</v>
      </c>
      <c r="D67" s="4">
        <v>6</v>
      </c>
      <c r="E67" s="15">
        <f>+Chiusura[[#This Row],[TOTALE]]/Chiusura[[#This Row],[QUANTITA'']]</f>
        <v>5.8966666666666674</v>
      </c>
      <c r="F67" s="16">
        <v>35.380000000000003</v>
      </c>
      <c r="G67" s="99" t="str">
        <f t="shared" si="13"/>
        <v>TIRAMISU</v>
      </c>
      <c r="H67" s="100" t="str">
        <f t="shared" si="14"/>
        <v>--DOLCI--</v>
      </c>
      <c r="I67" s="16">
        <f t="shared" ref="I67:I69" si="18">IFERROR(F67/1.1,0)</f>
        <v>32.163636363636364</v>
      </c>
      <c r="J67" s="5">
        <f t="shared" si="17"/>
        <v>2.0408634155908583E-2</v>
      </c>
      <c r="K67" s="17">
        <f>IFERROR(INDEX('FOOD-DRINK COST'!E:E,MATCH('CHIUSURA'!B67,'FOOD-DRINK COST'!C:C,0)),0)</f>
        <v>0</v>
      </c>
      <c r="L67" s="17">
        <f>Chiusura[[#This Row],[COSTO UNITARIO]]*D67</f>
        <v>0</v>
      </c>
      <c r="M67" s="17">
        <f t="shared" si="15"/>
        <v>0</v>
      </c>
      <c r="N67" s="2">
        <f t="shared" si="16"/>
        <v>0</v>
      </c>
      <c r="O67" s="17"/>
      <c r="P67" s="2"/>
    </row>
    <row r="68" spans="1:16" ht="15.75" customHeight="1">
      <c r="A68" s="4" t="s">
        <v>645</v>
      </c>
      <c r="B68" s="98">
        <v>4014</v>
      </c>
      <c r="C68" s="4" t="s">
        <v>137</v>
      </c>
      <c r="D68" s="4">
        <v>1</v>
      </c>
      <c r="E68" s="15">
        <f>+Chiusura[[#This Row],[TOTALE]]/Chiusura[[#This Row],[QUANTITA'']]</f>
        <v>4</v>
      </c>
      <c r="F68" s="16">
        <v>4</v>
      </c>
      <c r="G68" s="99" t="str">
        <f t="shared" si="13"/>
        <v>GELATO PRINCIPESSA</v>
      </c>
      <c r="H68" s="100" t="str">
        <f t="shared" si="14"/>
        <v>--DOLCI--</v>
      </c>
      <c r="I68" s="16">
        <f t="shared" si="18"/>
        <v>3.6363636363636362</v>
      </c>
      <c r="J68" s="5">
        <f t="shared" si="17"/>
        <v>2.307363952052977E-3</v>
      </c>
      <c r="K68" s="17">
        <f>IFERROR(INDEX('FOOD-DRINK COST'!E:E,MATCH('CHIUSURA'!B68,'FOOD-DRINK COST'!C:C,0)),0)</f>
        <v>0</v>
      </c>
      <c r="L68" s="17">
        <f>Chiusura[[#This Row],[COSTO UNITARIO]]*D68</f>
        <v>0</v>
      </c>
      <c r="M68" s="17">
        <f t="shared" si="15"/>
        <v>0</v>
      </c>
      <c r="N68" s="2">
        <f t="shared" si="16"/>
        <v>0</v>
      </c>
      <c r="O68" s="17"/>
      <c r="P68" s="2"/>
    </row>
    <row r="69" spans="1:16" ht="15.75" customHeight="1">
      <c r="A69" s="4" t="s">
        <v>228</v>
      </c>
      <c r="B69" s="98">
        <v>4107</v>
      </c>
      <c r="C69" s="4" t="s">
        <v>52</v>
      </c>
      <c r="D69" s="4">
        <v>1</v>
      </c>
      <c r="E69" s="15">
        <f>+Chiusura[[#This Row],[TOTALE]]/Chiusura[[#This Row],[QUANTITA'']]</f>
        <v>8</v>
      </c>
      <c r="F69" s="16">
        <v>8</v>
      </c>
      <c r="G69" s="99" t="str">
        <f t="shared" si="13"/>
        <v>NAPOLI</v>
      </c>
      <c r="H69" s="100" t="str">
        <f t="shared" si="14"/>
        <v>--PIZZE CLASSICHE--</v>
      </c>
      <c r="I69" s="16">
        <f t="shared" si="18"/>
        <v>7.2727272727272725</v>
      </c>
      <c r="J69" s="5">
        <f t="shared" si="17"/>
        <v>4.6147279041059541E-3</v>
      </c>
      <c r="K69" s="17">
        <f>IFERROR(INDEX('FOOD-DRINK COST'!E:E,MATCH('CHIUSURA'!B69,'FOOD-DRINK COST'!C:C,0)),0)</f>
        <v>2.11</v>
      </c>
      <c r="L69" s="17">
        <f>Chiusura[[#This Row],[COSTO UNITARIO]]*D69</f>
        <v>2.11</v>
      </c>
      <c r="M69" s="17">
        <f t="shared" si="15"/>
        <v>5.1627272727272722</v>
      </c>
      <c r="N69" s="2">
        <f t="shared" si="16"/>
        <v>0.70987499999999992</v>
      </c>
      <c r="O69" s="17"/>
      <c r="P69" s="2"/>
    </row>
    <row r="70" spans="1:16" ht="15.75" customHeight="1">
      <c r="A70" s="4" t="s">
        <v>233</v>
      </c>
      <c r="B70" s="98">
        <v>4108</v>
      </c>
      <c r="C70" s="4" t="s">
        <v>52</v>
      </c>
      <c r="D70" s="4">
        <v>1</v>
      </c>
      <c r="E70" s="15">
        <f>+Chiusura[[#This Row],[TOTALE]]/Chiusura[[#This Row],[QUANTITA'']]</f>
        <v>9</v>
      </c>
      <c r="F70" s="16">
        <v>9</v>
      </c>
      <c r="G70" s="101" t="str">
        <f t="shared" ref="G70:G73" si="19">IF(OR(A70="Coperto",A70="Servizio"),"",A70)</f>
        <v>ORTOLANA</v>
      </c>
      <c r="H70" s="102" t="str">
        <f t="shared" ref="H70:H73" si="20">IF(OR(C70="Cliente",C70="Servizio"),"",C70)</f>
        <v>--PIZZE CLASSICHE--</v>
      </c>
      <c r="I70" s="16">
        <f t="shared" ref="I70:I73" si="21">IFERROR(F70/1.1,0)</f>
        <v>8.1818181818181817</v>
      </c>
      <c r="J70" s="5">
        <f t="shared" si="17"/>
        <v>5.1915688921191985E-3</v>
      </c>
      <c r="K70" s="17">
        <f>IFERROR(INDEX('FOOD-DRINK COST'!E:E,MATCH('CHIUSURA'!B70,'FOOD-DRINK COST'!C:C,0)),0)</f>
        <v>2.27</v>
      </c>
      <c r="L70" s="17">
        <f>Chiusura[[#This Row],[COSTO UNITARIO]]*D70</f>
        <v>2.27</v>
      </c>
      <c r="M70" s="17">
        <f t="shared" ref="M70:M73" si="22">IF(K70=0,0,(I70-L70))</f>
        <v>5.9118181818181821</v>
      </c>
      <c r="N70" s="2">
        <f t="shared" ref="N70:N73" si="23">IFERROR(M70/I70,0)</f>
        <v>0.72255555555555562</v>
      </c>
      <c r="O70" s="17"/>
    </row>
    <row r="71" spans="1:16" ht="15.75" customHeight="1">
      <c r="A71" s="4" t="s">
        <v>211</v>
      </c>
      <c r="B71" s="98">
        <v>4101</v>
      </c>
      <c r="C71" s="4" t="s">
        <v>52</v>
      </c>
      <c r="D71" s="4">
        <v>2</v>
      </c>
      <c r="E71" s="15">
        <f>+Chiusura[[#This Row],[TOTALE]]/Chiusura[[#This Row],[QUANTITA'']]</f>
        <v>9.5</v>
      </c>
      <c r="F71" s="16">
        <v>19</v>
      </c>
      <c r="G71" s="101" t="str">
        <f t="shared" si="19"/>
        <v>MARGHERITA</v>
      </c>
      <c r="H71" s="102" t="str">
        <f t="shared" si="20"/>
        <v>--PIZZE CLASSICHE--</v>
      </c>
      <c r="I71" s="16">
        <f t="shared" si="21"/>
        <v>17.27272727272727</v>
      </c>
      <c r="J71" s="5">
        <f t="shared" si="17"/>
        <v>1.095997877225164E-2</v>
      </c>
      <c r="K71" s="17">
        <f>IFERROR(INDEX('FOOD-DRINK COST'!E:E,MATCH('CHIUSURA'!B71,'FOOD-DRINK COST'!C:C,0)),0)</f>
        <v>1.74</v>
      </c>
      <c r="L71" s="17">
        <f>Chiusura[[#This Row],[COSTO UNITARIO]]*D71</f>
        <v>3.48</v>
      </c>
      <c r="M71" s="17">
        <f t="shared" si="22"/>
        <v>13.792727272727269</v>
      </c>
      <c r="N71" s="2">
        <f t="shared" si="23"/>
        <v>0.79852631578947364</v>
      </c>
      <c r="O71" s="17"/>
    </row>
    <row r="72" spans="1:16" ht="15.75" customHeight="1">
      <c r="A72" s="4" t="s">
        <v>264</v>
      </c>
      <c r="B72" s="98">
        <v>4208</v>
      </c>
      <c r="C72" s="4" t="s">
        <v>85</v>
      </c>
      <c r="D72" s="4">
        <v>2</v>
      </c>
      <c r="E72" s="15">
        <f>+Chiusura[[#This Row],[TOTALE]]/Chiusura[[#This Row],[QUANTITA'']]</f>
        <v>13</v>
      </c>
      <c r="F72" s="16">
        <v>26</v>
      </c>
      <c r="G72" s="101" t="str">
        <f t="shared" si="19"/>
        <v>RUSTICA</v>
      </c>
      <c r="H72" s="102" t="str">
        <f t="shared" si="20"/>
        <v>--PIZZE CREATIVE--</v>
      </c>
      <c r="I72" s="16">
        <f t="shared" si="21"/>
        <v>23.636363636363633</v>
      </c>
      <c r="J72" s="5">
        <f t="shared" si="17"/>
        <v>1.4997865688344349E-2</v>
      </c>
      <c r="K72" s="17">
        <f>IFERROR(INDEX('FOOD-DRINK COST'!E:E,MATCH('CHIUSURA'!B72,'FOOD-DRINK COST'!C:C,0)),0)</f>
        <v>2.95</v>
      </c>
      <c r="L72" s="17">
        <f>Chiusura[[#This Row],[COSTO UNITARIO]]*D72</f>
        <v>5.9</v>
      </c>
      <c r="M72" s="17">
        <f t="shared" si="22"/>
        <v>17.736363636363635</v>
      </c>
      <c r="N72" s="2">
        <f t="shared" si="23"/>
        <v>0.75038461538461543</v>
      </c>
      <c r="O72" s="17"/>
    </row>
    <row r="73" spans="1:16" ht="15.75" customHeight="1">
      <c r="A73" s="4" t="s">
        <v>343</v>
      </c>
      <c r="B73" s="98" t="s">
        <v>343</v>
      </c>
      <c r="C73" s="4" t="s">
        <v>343</v>
      </c>
      <c r="D73" s="4">
        <v>63</v>
      </c>
      <c r="E73" s="15">
        <f>+Chiusura[[#This Row],[TOTALE]]/Chiusura[[#This Row],[QUANTITA'']]</f>
        <v>0</v>
      </c>
      <c r="F73" s="16">
        <v>0</v>
      </c>
      <c r="G73" s="101" t="str">
        <f t="shared" si="19"/>
        <v/>
      </c>
      <c r="H73" s="102" t="str">
        <f t="shared" si="20"/>
        <v/>
      </c>
      <c r="I73" s="16">
        <f t="shared" si="21"/>
        <v>0</v>
      </c>
      <c r="J73" s="5">
        <f t="shared" si="17"/>
        <v>0</v>
      </c>
      <c r="K73" s="17">
        <f>IFERROR(INDEX('FOOD-DRINK COST'!E:E,MATCH('CHIUSURA'!B73,'FOOD-DRINK COST'!C:C,0)),0)</f>
        <v>0</v>
      </c>
      <c r="L73" s="17">
        <f>Chiusura[[#This Row],[COSTO UNITARIO]]*D73</f>
        <v>0</v>
      </c>
      <c r="M73" s="17">
        <f t="shared" si="22"/>
        <v>0</v>
      </c>
      <c r="N73" s="2">
        <f t="shared" si="23"/>
        <v>0</v>
      </c>
      <c r="O73" s="17"/>
    </row>
    <row r="74" spans="1:16" ht="15.75" customHeight="1">
      <c r="A74" s="1"/>
      <c r="C74" s="1"/>
      <c r="E74" s="1"/>
      <c r="F74" s="16">
        <f>SUM(Chiusura[TOTALE])</f>
        <v>1733.5800000000002</v>
      </c>
      <c r="G74" s="16">
        <f>SUM(Chiusura[Prodotto_Report])</f>
        <v>0</v>
      </c>
      <c r="H74" s="16">
        <f>SUM(Chiusura[Categoria_Report])</f>
        <v>0</v>
      </c>
      <c r="I74" s="16">
        <f>SUM(Chiusura[TOT. IMP.])</f>
        <v>1575.9818181818182</v>
      </c>
      <c r="J74" s="1"/>
      <c r="L74" s="16">
        <f>SUM(Chiusura[COSTO TOTALE])</f>
        <v>406.09404804292922</v>
      </c>
      <c r="M74" s="16">
        <f>SUM(Chiusura[MARGINE])</f>
        <v>774.38777013888853</v>
      </c>
      <c r="N74" s="2">
        <f>AVERAGE(Chiusura[% MARGINE])</f>
        <v>0.602981736480665</v>
      </c>
      <c r="O74" s="17"/>
    </row>
    <row r="75" spans="1:16" ht="15.75" customHeight="1">
      <c r="A75" s="1"/>
      <c r="C75" s="1"/>
      <c r="E75" s="1"/>
      <c r="F75" s="1"/>
      <c r="G75" s="14"/>
      <c r="I75" s="1"/>
      <c r="J75" s="1"/>
      <c r="L75" s="2"/>
      <c r="M75" s="17"/>
      <c r="O75" s="17"/>
    </row>
    <row r="76" spans="1:16" ht="15.75" customHeight="1">
      <c r="A76" s="1"/>
      <c r="C76" s="1"/>
      <c r="E76" s="1"/>
      <c r="F76" s="1"/>
      <c r="G76" s="14"/>
      <c r="I76" s="1"/>
      <c r="J76" s="1"/>
      <c r="L76" s="2"/>
      <c r="M76" s="17"/>
      <c r="O76" s="17"/>
    </row>
    <row r="77" spans="1:16" ht="15.75" customHeight="1">
      <c r="A77" s="1"/>
      <c r="C77" s="1"/>
      <c r="E77" s="1"/>
      <c r="F77" s="1"/>
      <c r="G77" s="14"/>
      <c r="I77" s="1"/>
      <c r="J77" s="1"/>
      <c r="L77" s="2"/>
      <c r="M77" s="17"/>
      <c r="O77" s="17"/>
    </row>
    <row r="78" spans="1:16" ht="15.75" customHeight="1">
      <c r="A78" s="1"/>
      <c r="C78" s="1"/>
      <c r="E78" s="1"/>
      <c r="F78" s="1"/>
      <c r="G78" s="14"/>
      <c r="H78" s="17"/>
      <c r="I78" s="1"/>
      <c r="J78" s="1"/>
      <c r="K78" s="17"/>
      <c r="L78" s="5"/>
      <c r="M78" s="17"/>
      <c r="N78" s="17"/>
      <c r="O78" s="17"/>
    </row>
    <row r="79" spans="1:16" ht="15.75" customHeight="1">
      <c r="A79" s="1"/>
      <c r="C79" s="1"/>
      <c r="E79" s="1"/>
      <c r="F79" s="1"/>
      <c r="G79" s="14"/>
      <c r="H79" s="17"/>
      <c r="I79" s="1"/>
      <c r="J79" s="1"/>
      <c r="K79" s="17"/>
      <c r="L79" s="5"/>
      <c r="M79" s="17"/>
      <c r="N79" s="17"/>
      <c r="O79" s="17"/>
    </row>
    <row r="80" spans="1:16" ht="15.75" customHeight="1">
      <c r="A80" s="1"/>
      <c r="C80" s="1"/>
      <c r="E80" s="1"/>
      <c r="F80" s="1"/>
      <c r="G80" s="14"/>
      <c r="H80" s="17"/>
      <c r="I80" s="1"/>
      <c r="J80" s="1"/>
      <c r="K80" s="17"/>
      <c r="L80" s="5"/>
      <c r="M80" s="17"/>
      <c r="N80" s="17"/>
      <c r="O80" s="17"/>
    </row>
    <row r="81" spans="1:15" ht="15.75" customHeight="1">
      <c r="A81" s="1"/>
      <c r="C81" s="1"/>
      <c r="E81" s="1"/>
      <c r="F81" s="1"/>
      <c r="G81" s="14"/>
      <c r="H81" s="17"/>
      <c r="I81" s="1"/>
      <c r="J81" s="1"/>
      <c r="K81" s="17"/>
      <c r="L81" s="5"/>
      <c r="M81" s="17"/>
      <c r="N81" s="17"/>
      <c r="O81" s="17"/>
    </row>
    <row r="82" spans="1:15" ht="15.75" customHeight="1">
      <c r="A82" s="1"/>
      <c r="C82" s="1"/>
      <c r="E82" s="1"/>
      <c r="F82" s="1"/>
      <c r="G82" s="14"/>
      <c r="H82" s="17"/>
      <c r="I82" s="1"/>
      <c r="J82" s="1"/>
      <c r="K82" s="17"/>
      <c r="L82" s="5"/>
      <c r="M82" s="17"/>
      <c r="N82" s="17"/>
      <c r="O82" s="17"/>
    </row>
    <row r="83" spans="1:15" ht="15.75" customHeight="1">
      <c r="A83" s="1"/>
      <c r="C83" s="1"/>
      <c r="E83" s="1"/>
      <c r="F83" s="1"/>
      <c r="G83" s="14"/>
      <c r="H83" s="17"/>
      <c r="I83" s="1"/>
      <c r="J83" s="1"/>
      <c r="K83" s="17"/>
      <c r="L83" s="5"/>
      <c r="M83" s="17"/>
      <c r="N83" s="17"/>
      <c r="O83" s="17"/>
    </row>
    <row r="84" spans="1:15" ht="15.75" customHeight="1">
      <c r="A84" s="1"/>
      <c r="C84" s="1"/>
      <c r="E84" s="1"/>
      <c r="F84" s="1"/>
      <c r="G84" s="14"/>
      <c r="H84" s="17"/>
      <c r="I84" s="1"/>
      <c r="J84" s="1"/>
      <c r="K84" s="17"/>
      <c r="L84" s="5"/>
      <c r="M84" s="17"/>
      <c r="N84" s="17"/>
      <c r="O84" s="17"/>
    </row>
    <row r="85" spans="1:15" ht="15.75" customHeight="1">
      <c r="A85" s="1"/>
      <c r="C85" s="1"/>
      <c r="E85" s="1"/>
      <c r="F85" s="1"/>
      <c r="G85" s="14"/>
      <c r="H85" s="17"/>
      <c r="I85" s="1"/>
      <c r="J85" s="1"/>
      <c r="K85" s="17"/>
      <c r="L85" s="5"/>
      <c r="M85" s="17"/>
      <c r="N85" s="17"/>
      <c r="O85" s="17"/>
    </row>
    <row r="86" spans="1:15" ht="15.75" customHeight="1">
      <c r="A86" s="1"/>
      <c r="C86" s="1"/>
      <c r="E86" s="1"/>
      <c r="F86" s="1"/>
      <c r="G86" s="14"/>
      <c r="H86" s="17"/>
      <c r="I86" s="1"/>
      <c r="J86" s="1"/>
      <c r="K86" s="17"/>
      <c r="L86" s="5"/>
      <c r="M86" s="73"/>
      <c r="N86" s="17"/>
      <c r="O86" s="17"/>
    </row>
    <row r="87" spans="1:15" ht="15.75" customHeight="1">
      <c r="A87" s="1"/>
      <c r="C87" s="1"/>
      <c r="E87" s="1"/>
      <c r="F87" s="1"/>
      <c r="G87" s="14"/>
      <c r="H87" s="17"/>
      <c r="I87" s="1"/>
      <c r="J87" s="1"/>
      <c r="K87" s="17"/>
      <c r="L87" s="5"/>
      <c r="M87" s="17"/>
      <c r="N87" s="17"/>
      <c r="O87" s="17"/>
    </row>
    <row r="88" spans="1:15" ht="15.75" customHeight="1">
      <c r="A88" s="1"/>
      <c r="C88" s="1"/>
      <c r="E88" s="1"/>
      <c r="F88" s="1"/>
      <c r="G88" s="14"/>
      <c r="H88" s="17"/>
      <c r="I88" s="1"/>
      <c r="J88" s="1"/>
      <c r="K88" s="17"/>
      <c r="L88" s="5"/>
      <c r="M88" s="17"/>
      <c r="N88" s="17"/>
      <c r="O88" s="17"/>
    </row>
    <row r="89" spans="1:15" ht="15.75" customHeight="1">
      <c r="A89" s="1"/>
      <c r="C89" s="1"/>
      <c r="E89" s="1"/>
      <c r="F89" s="1"/>
      <c r="G89" s="14"/>
      <c r="H89" s="17"/>
      <c r="I89" s="1"/>
      <c r="J89" s="1"/>
      <c r="K89" s="17"/>
      <c r="L89" s="5"/>
      <c r="M89" s="17"/>
      <c r="N89" s="17"/>
      <c r="O89" s="17"/>
    </row>
    <row r="90" spans="1:15" ht="15.75" customHeight="1">
      <c r="A90" s="1"/>
      <c r="C90" s="1"/>
      <c r="E90" s="1"/>
      <c r="F90" s="1"/>
      <c r="G90" s="14"/>
      <c r="H90" s="17"/>
      <c r="I90" s="1"/>
      <c r="J90" s="1"/>
      <c r="K90" s="17"/>
      <c r="L90" s="5"/>
      <c r="M90" s="17"/>
      <c r="N90" s="17"/>
      <c r="O90" s="17"/>
    </row>
    <row r="91" spans="1:15" ht="15.75" customHeight="1">
      <c r="A91" s="1"/>
      <c r="C91" s="1"/>
      <c r="E91" s="1"/>
      <c r="F91" s="1"/>
      <c r="G91" s="14"/>
      <c r="H91" s="17"/>
      <c r="I91" s="1"/>
      <c r="J91" s="1"/>
      <c r="K91" s="17"/>
      <c r="L91" s="5"/>
      <c r="M91" s="17"/>
      <c r="N91" s="17"/>
      <c r="O91" s="17"/>
    </row>
    <row r="92" spans="1:15" ht="15.75" customHeight="1">
      <c r="A92" s="1"/>
      <c r="C92" s="1"/>
      <c r="E92" s="1"/>
      <c r="F92" s="1"/>
      <c r="G92" s="14"/>
      <c r="H92" s="17"/>
      <c r="I92" s="1"/>
      <c r="J92" s="1"/>
      <c r="K92" s="17"/>
      <c r="L92" s="5"/>
      <c r="M92" s="17"/>
      <c r="N92" s="17"/>
      <c r="O92" s="17"/>
    </row>
    <row r="93" spans="1:15" ht="15.75" customHeight="1">
      <c r="A93" s="1"/>
      <c r="C93" s="1"/>
      <c r="E93" s="1"/>
      <c r="F93" s="1"/>
      <c r="G93" s="14"/>
      <c r="H93" s="17"/>
      <c r="I93" s="1"/>
      <c r="J93" s="1"/>
      <c r="K93" s="17"/>
      <c r="L93" s="5"/>
      <c r="M93" s="17"/>
      <c r="N93" s="17"/>
      <c r="O93" s="17"/>
    </row>
    <row r="94" spans="1:15" ht="15.75" customHeight="1">
      <c r="A94" s="1"/>
      <c r="C94" s="1"/>
      <c r="E94" s="1"/>
      <c r="F94" s="1"/>
      <c r="G94" s="14"/>
      <c r="H94" s="17"/>
      <c r="I94" s="1"/>
      <c r="J94" s="1"/>
      <c r="K94" s="17"/>
      <c r="L94" s="5"/>
      <c r="M94" s="17"/>
      <c r="N94" s="17"/>
      <c r="O94" s="17"/>
    </row>
    <row r="95" spans="1:15" ht="15.75" customHeight="1">
      <c r="A95" s="1"/>
      <c r="C95" s="1"/>
      <c r="E95" s="1"/>
      <c r="F95" s="1"/>
      <c r="G95" s="14"/>
      <c r="H95" s="17"/>
      <c r="I95" s="1"/>
      <c r="J95" s="1"/>
      <c r="K95" s="17"/>
      <c r="L95" s="5"/>
      <c r="M95" s="17"/>
      <c r="N95" s="17"/>
      <c r="O95" s="17"/>
    </row>
    <row r="96" spans="1:15" ht="15.75" customHeight="1">
      <c r="A96" s="1"/>
      <c r="C96" s="1"/>
      <c r="E96" s="1"/>
      <c r="F96" s="1"/>
      <c r="G96" s="14"/>
      <c r="H96" s="17"/>
      <c r="I96" s="1"/>
      <c r="J96" s="1"/>
      <c r="K96" s="17"/>
      <c r="L96" s="5"/>
      <c r="M96" s="17"/>
      <c r="N96" s="17"/>
      <c r="O96" s="17"/>
    </row>
    <row r="97" spans="1:15" ht="15.75" customHeight="1">
      <c r="A97" s="1"/>
      <c r="C97" s="1"/>
      <c r="E97" s="1"/>
      <c r="F97" s="1"/>
      <c r="G97" s="14"/>
      <c r="H97" s="17"/>
      <c r="I97" s="1"/>
      <c r="J97" s="1"/>
      <c r="K97" s="17"/>
      <c r="L97" s="5"/>
      <c r="M97" s="17"/>
      <c r="N97" s="17"/>
      <c r="O97" s="17"/>
    </row>
    <row r="98" spans="1:15" ht="15.75" customHeight="1">
      <c r="A98" s="1"/>
      <c r="C98" s="1"/>
      <c r="E98" s="1"/>
      <c r="F98" s="1"/>
      <c r="G98" s="14"/>
      <c r="H98" s="17"/>
      <c r="I98" s="1"/>
      <c r="J98" s="1"/>
      <c r="K98" s="17"/>
      <c r="L98" s="5"/>
      <c r="M98" s="17"/>
      <c r="N98" s="17"/>
      <c r="O98" s="17"/>
    </row>
    <row r="99" spans="1:15" ht="15.75" customHeight="1">
      <c r="A99" s="1"/>
      <c r="C99" s="1"/>
      <c r="E99" s="1"/>
      <c r="F99" s="1"/>
      <c r="G99" s="14"/>
      <c r="H99" s="17"/>
      <c r="I99" s="1"/>
      <c r="J99" s="1"/>
      <c r="K99" s="17"/>
      <c r="L99" s="5"/>
      <c r="M99" s="17"/>
      <c r="N99" s="17"/>
      <c r="O99" s="17"/>
    </row>
    <row r="100" spans="1:15" ht="15.75" customHeight="1">
      <c r="A100" s="1"/>
      <c r="C100" s="1"/>
      <c r="E100" s="1"/>
      <c r="F100" s="1"/>
      <c r="G100" s="14"/>
      <c r="H100" s="17"/>
      <c r="I100" s="1"/>
      <c r="J100" s="1"/>
      <c r="K100" s="17"/>
      <c r="L100" s="5"/>
      <c r="M100" s="17"/>
      <c r="N100" s="17"/>
      <c r="O100" s="17"/>
    </row>
    <row r="101" spans="1:15" ht="15.75" customHeight="1">
      <c r="A101" s="1"/>
      <c r="C101" s="1"/>
      <c r="E101" s="1"/>
      <c r="F101" s="1"/>
      <c r="G101" s="14"/>
      <c r="H101" s="17"/>
      <c r="I101" s="1"/>
      <c r="J101" s="1"/>
      <c r="K101" s="17"/>
      <c r="L101" s="5"/>
      <c r="M101" s="17"/>
      <c r="N101" s="17"/>
      <c r="O101" s="17"/>
    </row>
    <row r="102" spans="1:15" ht="15.75" customHeight="1">
      <c r="A102" s="1"/>
      <c r="C102" s="1"/>
      <c r="E102" s="1"/>
      <c r="F102" s="1"/>
      <c r="G102" s="14"/>
      <c r="H102" s="17"/>
      <c r="I102" s="1"/>
      <c r="J102" s="1"/>
      <c r="K102" s="17"/>
      <c r="L102" s="5"/>
      <c r="M102" s="17"/>
      <c r="N102" s="17"/>
      <c r="O102" s="17"/>
    </row>
    <row r="103" spans="1:15" ht="15.75" customHeight="1">
      <c r="A103" s="1"/>
      <c r="C103" s="1"/>
      <c r="E103" s="1"/>
      <c r="F103" s="1"/>
      <c r="G103" s="14"/>
      <c r="H103" s="17"/>
      <c r="I103" s="1"/>
      <c r="J103" s="1"/>
      <c r="K103" s="17"/>
      <c r="L103" s="5"/>
      <c r="M103" s="17"/>
      <c r="N103" s="17"/>
      <c r="O103" s="17"/>
    </row>
    <row r="104" spans="1:15" ht="15.75" customHeight="1">
      <c r="A104" s="1"/>
      <c r="C104" s="1"/>
      <c r="E104" s="1"/>
      <c r="F104" s="1"/>
      <c r="G104" s="14"/>
      <c r="H104" s="17"/>
      <c r="I104" s="1"/>
      <c r="J104" s="1"/>
      <c r="K104" s="17"/>
      <c r="L104" s="5"/>
      <c r="M104" s="17"/>
      <c r="N104" s="17"/>
      <c r="O104" s="17"/>
    </row>
    <row r="105" spans="1:15" ht="15.75" customHeight="1">
      <c r="A105" s="1"/>
      <c r="C105" s="1"/>
      <c r="E105" s="1"/>
      <c r="F105" s="1"/>
      <c r="G105" s="14"/>
      <c r="H105" s="17"/>
      <c r="I105" s="1"/>
      <c r="J105" s="1"/>
      <c r="K105" s="17"/>
      <c r="L105" s="5"/>
      <c r="M105" s="17"/>
      <c r="N105" s="17"/>
      <c r="O105" s="17"/>
    </row>
    <row r="106" spans="1:15" ht="15.75" customHeight="1">
      <c r="A106" s="1"/>
      <c r="C106" s="1"/>
      <c r="E106" s="1"/>
      <c r="F106" s="1"/>
      <c r="G106" s="14"/>
      <c r="H106" s="17"/>
      <c r="I106" s="1"/>
      <c r="J106" s="1"/>
      <c r="K106" s="17"/>
      <c r="L106" s="5"/>
      <c r="M106" s="17"/>
      <c r="N106" s="17"/>
      <c r="O106" s="17"/>
    </row>
    <row r="107" spans="1:15" ht="15.75" customHeight="1">
      <c r="H107" s="17"/>
      <c r="K107" s="17"/>
      <c r="L107" s="2"/>
      <c r="M107" s="17"/>
      <c r="N107" s="17"/>
      <c r="O107" s="17"/>
    </row>
    <row r="108" spans="1:15" ht="15.75" customHeight="1">
      <c r="M108" s="17"/>
      <c r="N108" s="17"/>
      <c r="O108" s="17"/>
    </row>
    <row r="109" spans="1:15" ht="15.75" customHeight="1">
      <c r="H109" s="17"/>
      <c r="K109" s="17"/>
      <c r="L109" s="2"/>
      <c r="M109" s="17"/>
      <c r="N109" s="17"/>
      <c r="O109" s="17"/>
    </row>
    <row r="110" spans="1:15" ht="15.75" customHeight="1">
      <c r="H110" s="17"/>
      <c r="K110" s="17"/>
      <c r="L110" s="2"/>
      <c r="M110" s="17"/>
      <c r="N110" s="17"/>
      <c r="O110" s="17"/>
    </row>
    <row r="111" spans="1:15" ht="15.75" customHeight="1">
      <c r="H111" s="17"/>
      <c r="K111" s="17"/>
      <c r="L111" s="2"/>
      <c r="M111" s="17"/>
      <c r="N111" s="17"/>
      <c r="O111" s="17"/>
    </row>
    <row r="112" spans="1:15" ht="15.75" customHeight="1">
      <c r="H112" s="17"/>
      <c r="K112" s="17"/>
      <c r="L112" s="2"/>
      <c r="M112" s="17"/>
      <c r="N112" s="17"/>
      <c r="O112" s="17"/>
    </row>
    <row r="113" spans="8:15" ht="15.75" customHeight="1">
      <c r="H113" s="17"/>
      <c r="K113" s="17"/>
      <c r="L113" s="2"/>
      <c r="M113" s="17"/>
      <c r="N113" s="17"/>
      <c r="O113" s="17"/>
    </row>
    <row r="114" spans="8:15" ht="15.75" customHeight="1">
      <c r="H114" s="17"/>
      <c r="K114" s="17"/>
      <c r="L114" s="2"/>
      <c r="M114" s="17"/>
      <c r="N114" s="17"/>
      <c r="O114" s="17"/>
    </row>
    <row r="115" spans="8:15" ht="15.75" customHeight="1">
      <c r="H115" s="17"/>
      <c r="K115" s="17"/>
      <c r="L115" s="2"/>
      <c r="M115" s="17"/>
      <c r="N115" s="17"/>
      <c r="O115" s="17"/>
    </row>
    <row r="116" spans="8:15" ht="15.75" customHeight="1">
      <c r="H116" s="17"/>
      <c r="K116" s="17"/>
      <c r="L116" s="2"/>
      <c r="M116" s="17"/>
      <c r="N116" s="17"/>
      <c r="O116" s="17"/>
    </row>
    <row r="117" spans="8:15" ht="15.75" customHeight="1">
      <c r="H117" s="17"/>
      <c r="K117" s="17"/>
      <c r="L117" s="2"/>
      <c r="M117" s="17"/>
      <c r="N117" s="17"/>
      <c r="O117" s="17"/>
    </row>
    <row r="118" spans="8:15" ht="15.75" customHeight="1">
      <c r="H118" s="17"/>
      <c r="K118" s="17"/>
      <c r="L118" s="2"/>
      <c r="M118" s="17"/>
      <c r="N118" s="17"/>
      <c r="O118" s="17"/>
    </row>
    <row r="119" spans="8:15" ht="15.75" customHeight="1">
      <c r="H119" s="17"/>
      <c r="K119" s="17"/>
      <c r="L119" s="2"/>
      <c r="M119" s="17"/>
      <c r="N119" s="17"/>
      <c r="O119" s="17"/>
    </row>
    <row r="120" spans="8:15" ht="15.75" customHeight="1">
      <c r="H120" s="17"/>
      <c r="K120" s="17"/>
      <c r="L120" s="2"/>
      <c r="M120" s="17"/>
      <c r="N120" s="17"/>
      <c r="O120" s="17"/>
    </row>
    <row r="121" spans="8:15" ht="15.75" customHeight="1">
      <c r="H121" s="17"/>
      <c r="K121" s="17"/>
      <c r="L121" s="2"/>
      <c r="M121" s="17"/>
      <c r="N121" s="17"/>
      <c r="O121" s="17"/>
    </row>
    <row r="122" spans="8:15" ht="15.75" customHeight="1">
      <c r="H122" s="17"/>
      <c r="K122" s="17"/>
      <c r="L122" s="2"/>
      <c r="M122" s="17"/>
      <c r="N122" s="17"/>
      <c r="O122" s="17"/>
    </row>
    <row r="123" spans="8:15" ht="15.75" customHeight="1">
      <c r="H123" s="17"/>
      <c r="K123" s="17"/>
      <c r="L123" s="2"/>
      <c r="M123" s="17"/>
      <c r="N123" s="17"/>
      <c r="O123" s="17"/>
    </row>
    <row r="124" spans="8:15" ht="15.75" customHeight="1">
      <c r="H124" s="17"/>
      <c r="K124" s="17"/>
      <c r="L124" s="2"/>
      <c r="M124" s="17"/>
      <c r="N124" s="17"/>
      <c r="O124" s="17"/>
    </row>
    <row r="125" spans="8:15" ht="15.75" customHeight="1">
      <c r="H125" s="17"/>
      <c r="K125" s="17"/>
      <c r="L125" s="2"/>
      <c r="M125" s="17"/>
      <c r="N125" s="17"/>
      <c r="O125" s="17"/>
    </row>
    <row r="126" spans="8:15" ht="15.75" customHeight="1">
      <c r="H126" s="17"/>
      <c r="K126" s="17"/>
      <c r="L126" s="2"/>
      <c r="M126" s="17"/>
      <c r="N126" s="17"/>
      <c r="O126" s="17"/>
    </row>
    <row r="127" spans="8:15" ht="15.75" customHeight="1">
      <c r="H127" s="17"/>
      <c r="K127" s="17"/>
      <c r="L127" s="2"/>
      <c r="M127" s="17"/>
      <c r="N127" s="17"/>
      <c r="O127" s="17"/>
    </row>
    <row r="128" spans="8:15" ht="15.75" customHeight="1">
      <c r="H128" s="17"/>
      <c r="K128" s="17"/>
      <c r="L128" s="2"/>
      <c r="M128" s="17"/>
      <c r="N128" s="17"/>
      <c r="O128" s="17"/>
    </row>
    <row r="129" spans="8:15" ht="15.75" customHeight="1">
      <c r="H129" s="17"/>
      <c r="K129" s="17"/>
      <c r="L129" s="2"/>
      <c r="M129" s="17"/>
      <c r="N129" s="17"/>
      <c r="O129" s="17"/>
    </row>
    <row r="130" spans="8:15" ht="15.75" customHeight="1">
      <c r="H130" s="17"/>
      <c r="K130" s="17"/>
      <c r="L130" s="2"/>
      <c r="M130" s="17"/>
      <c r="N130" s="17"/>
      <c r="O130" s="17"/>
    </row>
    <row r="131" spans="8:15" ht="15.75" customHeight="1">
      <c r="H131" s="17"/>
      <c r="K131" s="17"/>
      <c r="L131" s="2"/>
      <c r="M131" s="17"/>
      <c r="N131" s="17"/>
      <c r="O131" s="17"/>
    </row>
    <row r="132" spans="8:15" ht="15.75" customHeight="1">
      <c r="H132" s="17"/>
      <c r="K132" s="17"/>
      <c r="L132" s="2"/>
      <c r="M132" s="17"/>
      <c r="N132" s="17"/>
      <c r="O132" s="17"/>
    </row>
    <row r="133" spans="8:15" ht="15.75" customHeight="1">
      <c r="H133" s="17"/>
      <c r="K133" s="17"/>
      <c r="L133" s="2"/>
      <c r="M133" s="17"/>
      <c r="N133" s="17"/>
      <c r="O133" s="17"/>
    </row>
    <row r="134" spans="8:15" ht="15.75" customHeight="1">
      <c r="H134" s="17"/>
      <c r="K134" s="17"/>
      <c r="L134" s="2"/>
      <c r="M134" s="17"/>
      <c r="N134" s="17"/>
      <c r="O134" s="17"/>
    </row>
    <row r="135" spans="8:15" ht="15.75" customHeight="1">
      <c r="H135" s="17"/>
      <c r="K135" s="17"/>
      <c r="L135" s="2"/>
      <c r="M135" s="17"/>
      <c r="N135" s="17"/>
      <c r="O135" s="17"/>
    </row>
    <row r="136" spans="8:15" ht="15.75" customHeight="1">
      <c r="H136" s="17"/>
      <c r="K136" s="17"/>
      <c r="L136" s="2"/>
      <c r="M136" s="17"/>
      <c r="N136" s="17"/>
      <c r="O136" s="17"/>
    </row>
    <row r="137" spans="8:15" ht="15.75" customHeight="1">
      <c r="H137" s="17"/>
      <c r="K137" s="17"/>
      <c r="L137" s="2"/>
      <c r="M137" s="17"/>
      <c r="N137" s="17"/>
      <c r="O137" s="17"/>
    </row>
    <row r="138" spans="8:15" ht="15.75" customHeight="1">
      <c r="H138" s="17"/>
      <c r="K138" s="17"/>
      <c r="L138" s="2"/>
      <c r="M138" s="17"/>
      <c r="N138" s="17"/>
      <c r="O138" s="17"/>
    </row>
    <row r="139" spans="8:15" ht="15.75" customHeight="1">
      <c r="H139" s="17"/>
      <c r="K139" s="17"/>
      <c r="L139" s="2"/>
      <c r="M139" s="17"/>
      <c r="N139" s="17"/>
      <c r="O139" s="17"/>
    </row>
    <row r="140" spans="8:15" ht="15.75" customHeight="1">
      <c r="H140" s="17"/>
      <c r="K140" s="17"/>
      <c r="L140" s="2"/>
      <c r="M140" s="17"/>
      <c r="N140" s="17"/>
      <c r="O140" s="17"/>
    </row>
    <row r="141" spans="8:15" ht="15.75" customHeight="1">
      <c r="H141" s="17"/>
      <c r="K141" s="17"/>
      <c r="L141" s="2"/>
      <c r="M141" s="17"/>
      <c r="N141" s="17"/>
      <c r="O141" s="17"/>
    </row>
    <row r="142" spans="8:15" ht="15.75" customHeight="1">
      <c r="H142" s="17"/>
      <c r="K142" s="17"/>
      <c r="L142" s="2"/>
      <c r="M142" s="17"/>
      <c r="N142" s="17"/>
      <c r="O142" s="17"/>
    </row>
    <row r="143" spans="8:15" ht="15.75" customHeight="1">
      <c r="H143" s="17"/>
      <c r="K143" s="17"/>
      <c r="L143" s="2"/>
      <c r="M143" s="17"/>
      <c r="N143" s="17"/>
      <c r="O143" s="17"/>
    </row>
    <row r="144" spans="8:15" ht="15.75" customHeight="1">
      <c r="H144" s="17"/>
      <c r="K144" s="17"/>
      <c r="L144" s="2"/>
      <c r="M144" s="17"/>
      <c r="N144" s="17"/>
      <c r="O144" s="17"/>
    </row>
    <row r="145" spans="8:15" ht="15.75" customHeight="1">
      <c r="H145" s="17"/>
      <c r="K145" s="17"/>
      <c r="L145" s="2"/>
      <c r="M145" s="17"/>
      <c r="N145" s="17"/>
      <c r="O145" s="17"/>
    </row>
    <row r="146" spans="8:15" ht="15.75" customHeight="1">
      <c r="H146" s="17"/>
      <c r="K146" s="17"/>
      <c r="L146" s="2"/>
      <c r="M146" s="17"/>
      <c r="N146" s="17"/>
      <c r="O146" s="17"/>
    </row>
    <row r="147" spans="8:15" ht="15.75" customHeight="1">
      <c r="H147" s="17"/>
      <c r="K147" s="17"/>
      <c r="L147" s="2"/>
      <c r="M147" s="17"/>
      <c r="N147" s="17"/>
      <c r="O147" s="17"/>
    </row>
    <row r="148" spans="8:15" ht="15.75" customHeight="1">
      <c r="H148" s="17"/>
      <c r="K148" s="17"/>
      <c r="L148" s="2"/>
      <c r="M148" s="17"/>
      <c r="N148" s="17"/>
      <c r="O148" s="17"/>
    </row>
    <row r="149" spans="8:15" ht="15.75" customHeight="1">
      <c r="H149" s="17"/>
      <c r="K149" s="17"/>
      <c r="L149" s="2"/>
      <c r="M149" s="17"/>
      <c r="N149" s="17"/>
      <c r="O149" s="17"/>
    </row>
    <row r="150" spans="8:15" ht="15.75" customHeight="1">
      <c r="H150" s="17"/>
      <c r="K150" s="17"/>
      <c r="L150" s="2"/>
      <c r="M150" s="17"/>
      <c r="N150" s="17"/>
      <c r="O150" s="17"/>
    </row>
    <row r="151" spans="8:15" ht="15.75" customHeight="1">
      <c r="H151" s="17"/>
      <c r="K151" s="17"/>
      <c r="L151" s="2"/>
      <c r="M151" s="17"/>
      <c r="N151" s="17"/>
      <c r="O151" s="17"/>
    </row>
    <row r="152" spans="8:15" ht="15.75" customHeight="1">
      <c r="H152" s="17"/>
      <c r="K152" s="17"/>
      <c r="L152" s="2"/>
      <c r="M152" s="17"/>
      <c r="N152" s="17"/>
      <c r="O152" s="17"/>
    </row>
    <row r="153" spans="8:15" ht="15.75" customHeight="1">
      <c r="H153" s="17"/>
      <c r="K153" s="17"/>
      <c r="L153" s="2"/>
      <c r="M153" s="17"/>
      <c r="N153" s="17"/>
      <c r="O153" s="17"/>
    </row>
    <row r="154" spans="8:15" ht="15.75" customHeight="1">
      <c r="H154" s="17"/>
      <c r="K154" s="17"/>
      <c r="L154" s="2"/>
      <c r="M154" s="17"/>
      <c r="N154" s="17"/>
      <c r="O154" s="17"/>
    </row>
    <row r="155" spans="8:15" ht="15.75" customHeight="1">
      <c r="H155" s="17"/>
      <c r="K155" s="17"/>
      <c r="L155" s="2"/>
      <c r="M155" s="17"/>
      <c r="N155" s="17"/>
      <c r="O155" s="17"/>
    </row>
    <row r="156" spans="8:15" ht="15.75" customHeight="1">
      <c r="H156" s="17"/>
      <c r="K156" s="17"/>
      <c r="L156" s="2"/>
      <c r="M156" s="17"/>
      <c r="N156" s="17"/>
      <c r="O156" s="17"/>
    </row>
    <row r="157" spans="8:15" ht="15.75" customHeight="1">
      <c r="H157" s="17"/>
      <c r="K157" s="17"/>
      <c r="L157" s="2"/>
      <c r="M157" s="17"/>
      <c r="N157" s="17"/>
      <c r="O157" s="17"/>
    </row>
    <row r="158" spans="8:15" ht="15.75" customHeight="1">
      <c r="H158" s="17"/>
      <c r="K158" s="17"/>
      <c r="L158" s="2"/>
      <c r="M158" s="17"/>
      <c r="N158" s="17"/>
      <c r="O158" s="17"/>
    </row>
    <row r="159" spans="8:15" ht="15.75" customHeight="1">
      <c r="H159" s="17"/>
      <c r="K159" s="17"/>
      <c r="L159" s="2"/>
      <c r="M159" s="17"/>
      <c r="N159" s="17"/>
      <c r="O159" s="17"/>
    </row>
    <row r="160" spans="8:15" ht="15.75" customHeight="1">
      <c r="H160" s="17"/>
      <c r="K160" s="17"/>
      <c r="L160" s="2"/>
      <c r="M160" s="17"/>
      <c r="N160" s="17"/>
      <c r="O160" s="17"/>
    </row>
    <row r="161" spans="8:15" ht="15.75" customHeight="1">
      <c r="H161" s="17"/>
      <c r="K161" s="17"/>
      <c r="L161" s="2"/>
      <c r="M161" s="17"/>
      <c r="N161" s="17"/>
      <c r="O161" s="17"/>
    </row>
    <row r="162" spans="8:15" ht="15.75" customHeight="1">
      <c r="H162" s="17"/>
      <c r="K162" s="17"/>
      <c r="L162" s="2"/>
      <c r="M162" s="17"/>
      <c r="N162" s="17"/>
      <c r="O162" s="17"/>
    </row>
    <row r="163" spans="8:15" ht="15.75" customHeight="1">
      <c r="H163" s="17"/>
      <c r="K163" s="17"/>
      <c r="L163" s="2"/>
      <c r="M163" s="17"/>
      <c r="N163" s="17"/>
      <c r="O163" s="17"/>
    </row>
    <row r="164" spans="8:15" ht="15.75" customHeight="1">
      <c r="H164" s="17"/>
      <c r="K164" s="17"/>
      <c r="L164" s="2"/>
      <c r="M164" s="17"/>
      <c r="N164" s="17"/>
      <c r="O164" s="17"/>
    </row>
    <row r="165" spans="8:15" ht="15.75" customHeight="1">
      <c r="H165" s="17"/>
      <c r="K165" s="17"/>
      <c r="L165" s="2"/>
      <c r="M165" s="17"/>
      <c r="N165" s="17"/>
      <c r="O165" s="17"/>
    </row>
    <row r="166" spans="8:15" ht="15.75" customHeight="1">
      <c r="H166" s="17"/>
      <c r="K166" s="17"/>
      <c r="L166" s="2"/>
      <c r="M166" s="17"/>
      <c r="N166" s="17"/>
      <c r="O166" s="17"/>
    </row>
    <row r="167" spans="8:15" ht="15.75" customHeight="1">
      <c r="H167" s="17"/>
      <c r="K167" s="17"/>
      <c r="L167" s="2"/>
      <c r="M167" s="17"/>
      <c r="N167" s="17"/>
      <c r="O167" s="17"/>
    </row>
    <row r="168" spans="8:15" ht="15.75" customHeight="1">
      <c r="H168" s="17"/>
      <c r="K168" s="17"/>
      <c r="L168" s="2"/>
      <c r="M168" s="17"/>
      <c r="N168" s="17"/>
      <c r="O168" s="17"/>
    </row>
    <row r="169" spans="8:15" ht="15.75" customHeight="1">
      <c r="H169" s="17"/>
      <c r="K169" s="17"/>
      <c r="L169" s="2"/>
      <c r="M169" s="17"/>
      <c r="N169" s="17"/>
      <c r="O169" s="17"/>
    </row>
    <row r="170" spans="8:15" ht="15.75" customHeight="1">
      <c r="H170" s="17"/>
      <c r="K170" s="17"/>
      <c r="L170" s="2"/>
      <c r="M170" s="17"/>
      <c r="N170" s="17"/>
      <c r="O170" s="17"/>
    </row>
    <row r="171" spans="8:15" ht="15.75" customHeight="1">
      <c r="H171" s="17"/>
      <c r="K171" s="17"/>
      <c r="L171" s="2"/>
      <c r="M171" s="17"/>
      <c r="N171" s="17"/>
      <c r="O171" s="17"/>
    </row>
    <row r="172" spans="8:15" ht="15.75" customHeight="1">
      <c r="H172" s="17"/>
      <c r="K172" s="17"/>
      <c r="L172" s="2"/>
      <c r="M172" s="17"/>
      <c r="N172" s="17"/>
      <c r="O172" s="17"/>
    </row>
    <row r="173" spans="8:15" ht="15.75" customHeight="1">
      <c r="H173" s="17"/>
      <c r="K173" s="17"/>
      <c r="L173" s="2"/>
      <c r="M173" s="17"/>
      <c r="N173" s="17"/>
      <c r="O173" s="17"/>
    </row>
    <row r="174" spans="8:15" ht="15.75" customHeight="1">
      <c r="H174" s="17"/>
      <c r="K174" s="17"/>
      <c r="L174" s="2"/>
      <c r="M174" s="17"/>
      <c r="N174" s="17"/>
      <c r="O174" s="17"/>
    </row>
    <row r="175" spans="8:15" ht="15.75" customHeight="1">
      <c r="H175" s="17"/>
      <c r="K175" s="17"/>
      <c r="L175" s="2"/>
      <c r="M175" s="17"/>
      <c r="N175" s="17"/>
      <c r="O175" s="17"/>
    </row>
    <row r="176" spans="8:15" ht="15.75" customHeight="1">
      <c r="H176" s="17"/>
      <c r="K176" s="17"/>
      <c r="L176" s="2"/>
      <c r="M176" s="17"/>
      <c r="N176" s="17"/>
      <c r="O176" s="17"/>
    </row>
    <row r="177" spans="8:15" ht="15.75" customHeight="1">
      <c r="H177" s="17"/>
      <c r="K177" s="17"/>
      <c r="L177" s="2"/>
      <c r="M177" s="17"/>
      <c r="N177" s="17"/>
      <c r="O177" s="17"/>
    </row>
    <row r="178" spans="8:15" ht="15.75" customHeight="1">
      <c r="H178" s="17"/>
      <c r="K178" s="17"/>
      <c r="L178" s="2"/>
      <c r="M178" s="17"/>
      <c r="N178" s="17"/>
      <c r="O178" s="17"/>
    </row>
    <row r="179" spans="8:15" ht="15.75" customHeight="1">
      <c r="H179" s="17"/>
      <c r="K179" s="17"/>
      <c r="L179" s="2"/>
      <c r="M179" s="17"/>
      <c r="N179" s="17"/>
      <c r="O179" s="17"/>
    </row>
    <row r="180" spans="8:15" ht="15.75" customHeight="1">
      <c r="H180" s="17"/>
      <c r="K180" s="17"/>
      <c r="L180" s="2"/>
      <c r="M180" s="17"/>
      <c r="N180" s="17"/>
      <c r="O180" s="17"/>
    </row>
    <row r="181" spans="8:15" ht="15.75" customHeight="1">
      <c r="H181" s="17"/>
      <c r="K181" s="17"/>
      <c r="L181" s="2"/>
      <c r="M181" s="17"/>
      <c r="N181" s="17"/>
      <c r="O181" s="17"/>
    </row>
    <row r="182" spans="8:15" ht="15.75" customHeight="1">
      <c r="H182" s="17"/>
      <c r="K182" s="17"/>
      <c r="L182" s="2"/>
      <c r="M182" s="17"/>
      <c r="N182" s="17"/>
      <c r="O182" s="17"/>
    </row>
    <row r="183" spans="8:15" ht="15.75" customHeight="1">
      <c r="H183" s="17"/>
      <c r="K183" s="17"/>
      <c r="L183" s="2"/>
      <c r="M183" s="17"/>
      <c r="N183" s="17"/>
      <c r="O183" s="17"/>
    </row>
    <row r="184" spans="8:15" ht="15.75" customHeight="1">
      <c r="H184" s="17"/>
      <c r="K184" s="17"/>
      <c r="L184" s="2"/>
      <c r="M184" s="17"/>
      <c r="N184" s="17"/>
      <c r="O184" s="17"/>
    </row>
    <row r="185" spans="8:15" ht="15.75" customHeight="1">
      <c r="H185" s="17"/>
      <c r="K185" s="17"/>
      <c r="L185" s="2"/>
      <c r="M185" s="17"/>
      <c r="N185" s="17"/>
      <c r="O185" s="17"/>
    </row>
    <row r="186" spans="8:15" ht="15.75" customHeight="1">
      <c r="H186" s="17"/>
      <c r="K186" s="17"/>
      <c r="L186" s="2"/>
      <c r="M186" s="17"/>
      <c r="N186" s="17"/>
      <c r="O186" s="17"/>
    </row>
    <row r="187" spans="8:15" ht="15.75" customHeight="1">
      <c r="H187" s="17"/>
      <c r="K187" s="17"/>
      <c r="L187" s="2"/>
      <c r="M187" s="17"/>
      <c r="N187" s="17"/>
      <c r="O187" s="17"/>
    </row>
    <row r="188" spans="8:15" ht="15.75" customHeight="1">
      <c r="H188" s="17"/>
      <c r="K188" s="17"/>
      <c r="L188" s="2"/>
      <c r="M188" s="17"/>
      <c r="N188" s="17"/>
      <c r="O188" s="17"/>
    </row>
    <row r="189" spans="8:15" ht="15.75" customHeight="1">
      <c r="H189" s="17"/>
      <c r="K189" s="17"/>
      <c r="L189" s="2"/>
      <c r="M189" s="17"/>
      <c r="N189" s="17"/>
      <c r="O189" s="17"/>
    </row>
    <row r="190" spans="8:15" ht="15.75" customHeight="1">
      <c r="H190" s="17"/>
      <c r="K190" s="17"/>
      <c r="L190" s="2"/>
      <c r="M190" s="17"/>
      <c r="N190" s="17"/>
      <c r="O190" s="17"/>
    </row>
    <row r="191" spans="8:15" ht="15.75" customHeight="1">
      <c r="H191" s="17"/>
      <c r="K191" s="17"/>
      <c r="L191" s="2"/>
      <c r="M191" s="17"/>
      <c r="N191" s="17"/>
      <c r="O191" s="17"/>
    </row>
    <row r="192" spans="8:15" ht="15.75" customHeight="1">
      <c r="H192" s="17"/>
      <c r="K192" s="17"/>
      <c r="L192" s="2"/>
      <c r="M192" s="17"/>
      <c r="N192" s="17"/>
      <c r="O192" s="17"/>
    </row>
    <row r="193" spans="8:15" ht="15.75" customHeight="1">
      <c r="H193" s="17"/>
      <c r="K193" s="17"/>
      <c r="L193" s="2"/>
      <c r="M193" s="17"/>
      <c r="N193" s="17"/>
      <c r="O193" s="17"/>
    </row>
    <row r="194" spans="8:15" ht="15.75" customHeight="1">
      <c r="H194" s="17"/>
      <c r="K194" s="17"/>
      <c r="L194" s="2"/>
      <c r="M194" s="17"/>
      <c r="N194" s="17"/>
      <c r="O194" s="17"/>
    </row>
    <row r="195" spans="8:15" ht="15.75" customHeight="1">
      <c r="H195" s="17"/>
      <c r="K195" s="17"/>
      <c r="L195" s="2"/>
      <c r="M195" s="17"/>
      <c r="N195" s="17"/>
      <c r="O195" s="17"/>
    </row>
    <row r="196" spans="8:15" ht="15.75" customHeight="1">
      <c r="H196" s="17"/>
      <c r="K196" s="17"/>
      <c r="L196" s="2"/>
      <c r="M196" s="17"/>
      <c r="N196" s="17"/>
      <c r="O196" s="17"/>
    </row>
    <row r="197" spans="8:15" ht="15.75" customHeight="1">
      <c r="H197" s="17"/>
      <c r="K197" s="17"/>
      <c r="L197" s="2"/>
      <c r="M197" s="17"/>
      <c r="N197" s="17"/>
      <c r="O197" s="17"/>
    </row>
    <row r="198" spans="8:15" ht="15.75" customHeight="1">
      <c r="H198" s="17"/>
      <c r="K198" s="17"/>
      <c r="L198" s="2"/>
      <c r="M198" s="17"/>
      <c r="N198" s="17"/>
      <c r="O198" s="17"/>
    </row>
    <row r="199" spans="8:15" ht="15.75" customHeight="1">
      <c r="H199" s="17"/>
      <c r="K199" s="17"/>
      <c r="L199" s="2"/>
      <c r="M199" s="17"/>
      <c r="N199" s="17"/>
      <c r="O199" s="17"/>
    </row>
    <row r="200" spans="8:15" ht="15.75" customHeight="1">
      <c r="H200" s="17"/>
      <c r="K200" s="17"/>
      <c r="L200" s="2"/>
      <c r="M200" s="17"/>
      <c r="N200" s="17"/>
      <c r="O200" s="17"/>
    </row>
    <row r="201" spans="8:15" ht="15.75" customHeight="1">
      <c r="H201" s="17"/>
      <c r="K201" s="17"/>
      <c r="L201" s="2"/>
      <c r="M201" s="17"/>
      <c r="N201" s="17"/>
      <c r="O201" s="17"/>
    </row>
    <row r="202" spans="8:15" ht="15.75" customHeight="1">
      <c r="H202" s="17"/>
      <c r="K202" s="17"/>
      <c r="L202" s="2"/>
      <c r="M202" s="17"/>
      <c r="N202" s="17"/>
      <c r="O202" s="17"/>
    </row>
    <row r="203" spans="8:15" ht="15.75" customHeight="1">
      <c r="H203" s="17"/>
      <c r="K203" s="17"/>
      <c r="L203" s="2"/>
      <c r="M203" s="17"/>
      <c r="N203" s="17"/>
      <c r="O203" s="17"/>
    </row>
    <row r="204" spans="8:15" ht="15.75" customHeight="1">
      <c r="H204" s="17"/>
      <c r="K204" s="17"/>
      <c r="L204" s="2"/>
      <c r="M204" s="17"/>
      <c r="N204" s="17"/>
      <c r="O204" s="17"/>
    </row>
    <row r="205" spans="8:15" ht="15.75" customHeight="1">
      <c r="H205" s="17"/>
      <c r="K205" s="17"/>
      <c r="L205" s="2"/>
      <c r="M205" s="17"/>
      <c r="N205" s="17"/>
      <c r="O205" s="17"/>
    </row>
    <row r="206" spans="8:15" ht="15.75" customHeight="1">
      <c r="H206" s="17"/>
      <c r="K206" s="17"/>
      <c r="L206" s="2"/>
      <c r="M206" s="17"/>
      <c r="N206" s="17"/>
      <c r="O206" s="17"/>
    </row>
    <row r="207" spans="8:15" ht="15.75" customHeight="1">
      <c r="H207" s="17"/>
      <c r="K207" s="17"/>
      <c r="L207" s="2"/>
      <c r="M207" s="17"/>
      <c r="N207" s="17"/>
      <c r="O207" s="17"/>
    </row>
    <row r="208" spans="8:15" ht="15.75" customHeight="1">
      <c r="H208" s="17"/>
      <c r="K208" s="17"/>
      <c r="L208" s="2"/>
      <c r="M208" s="17"/>
      <c r="N208" s="17"/>
      <c r="O208" s="17"/>
    </row>
    <row r="209" spans="8:15" ht="15.75" customHeight="1">
      <c r="H209" s="17"/>
      <c r="K209" s="17"/>
      <c r="L209" s="2"/>
      <c r="M209" s="17"/>
      <c r="N209" s="17"/>
      <c r="O209" s="17"/>
    </row>
    <row r="210" spans="8:15" ht="15.75" customHeight="1">
      <c r="H210" s="17"/>
      <c r="K210" s="17"/>
      <c r="L210" s="2"/>
      <c r="M210" s="17"/>
      <c r="N210" s="17"/>
      <c r="O210" s="17"/>
    </row>
    <row r="211" spans="8:15" ht="15.75" customHeight="1">
      <c r="H211" s="17"/>
      <c r="K211" s="17"/>
      <c r="L211" s="2"/>
      <c r="M211" s="17"/>
      <c r="N211" s="17"/>
      <c r="O211" s="17"/>
    </row>
    <row r="212" spans="8:15" ht="15.75" customHeight="1">
      <c r="H212" s="17"/>
      <c r="K212" s="17"/>
      <c r="L212" s="2"/>
      <c r="M212" s="17"/>
      <c r="N212" s="17"/>
      <c r="O212" s="17"/>
    </row>
    <row r="213" spans="8:15" ht="15.75" customHeight="1">
      <c r="H213" s="17"/>
      <c r="K213" s="17"/>
      <c r="L213" s="2"/>
      <c r="M213" s="17"/>
      <c r="N213" s="17"/>
      <c r="O213" s="17"/>
    </row>
    <row r="214" spans="8:15" ht="15.75" customHeight="1">
      <c r="H214" s="17"/>
      <c r="K214" s="17"/>
      <c r="L214" s="2"/>
      <c r="M214" s="17"/>
      <c r="N214" s="17"/>
      <c r="O214" s="17"/>
    </row>
    <row r="215" spans="8:15" ht="15.75" customHeight="1">
      <c r="H215" s="17"/>
      <c r="K215" s="17"/>
      <c r="L215" s="2"/>
      <c r="M215" s="17"/>
      <c r="N215" s="17"/>
      <c r="O215" s="17"/>
    </row>
    <row r="216" spans="8:15" ht="15.75" customHeight="1">
      <c r="H216" s="17"/>
      <c r="K216" s="17"/>
      <c r="L216" s="2"/>
      <c r="M216" s="17"/>
      <c r="N216" s="17"/>
      <c r="O216" s="17"/>
    </row>
    <row r="217" spans="8:15" ht="15.75" customHeight="1">
      <c r="H217" s="17"/>
      <c r="K217" s="17"/>
      <c r="L217" s="2"/>
      <c r="M217" s="17"/>
      <c r="N217" s="17"/>
      <c r="O217" s="17"/>
    </row>
    <row r="218" spans="8:15" ht="15.75" customHeight="1">
      <c r="H218" s="17"/>
      <c r="K218" s="17"/>
      <c r="L218" s="2"/>
      <c r="M218" s="17"/>
      <c r="N218" s="17"/>
      <c r="O218" s="17"/>
    </row>
    <row r="219" spans="8:15" ht="15.75" customHeight="1">
      <c r="H219" s="17"/>
      <c r="K219" s="17"/>
      <c r="L219" s="2"/>
      <c r="M219" s="17"/>
      <c r="N219" s="17"/>
      <c r="O219" s="17"/>
    </row>
    <row r="220" spans="8:15" ht="15.75" customHeight="1">
      <c r="H220" s="17"/>
      <c r="K220" s="17"/>
      <c r="L220" s="2"/>
      <c r="M220" s="17"/>
      <c r="N220" s="17"/>
      <c r="O220" s="17"/>
    </row>
    <row r="221" spans="8:15" ht="15.75" customHeight="1">
      <c r="H221" s="17"/>
      <c r="K221" s="17"/>
      <c r="L221" s="2"/>
      <c r="M221" s="17"/>
      <c r="N221" s="17"/>
      <c r="O221" s="17"/>
    </row>
    <row r="222" spans="8:15" ht="15.75" customHeight="1">
      <c r="H222" s="17"/>
      <c r="K222" s="17"/>
      <c r="L222" s="2"/>
      <c r="M222" s="17"/>
      <c r="N222" s="17"/>
      <c r="O222" s="17"/>
    </row>
    <row r="223" spans="8:15" ht="15.75" customHeight="1">
      <c r="H223" s="17"/>
      <c r="K223" s="17"/>
      <c r="L223" s="2"/>
      <c r="M223" s="17"/>
      <c r="N223" s="17"/>
      <c r="O223" s="17"/>
    </row>
    <row r="224" spans="8:15" ht="15.75" customHeight="1">
      <c r="H224" s="17"/>
      <c r="K224" s="17"/>
      <c r="L224" s="2"/>
      <c r="M224" s="17"/>
      <c r="N224" s="17"/>
      <c r="O224" s="17"/>
    </row>
    <row r="225" spans="8:15" ht="15.75" customHeight="1">
      <c r="H225" s="17"/>
      <c r="K225" s="17"/>
      <c r="L225" s="2"/>
      <c r="M225" s="17"/>
      <c r="N225" s="17"/>
      <c r="O225" s="17"/>
    </row>
    <row r="226" spans="8:15" ht="15.75" customHeight="1">
      <c r="H226" s="17"/>
      <c r="K226" s="17"/>
      <c r="L226" s="2"/>
      <c r="M226" s="17"/>
      <c r="N226" s="17"/>
      <c r="O226" s="17"/>
    </row>
    <row r="227" spans="8:15" ht="15.75" customHeight="1">
      <c r="H227" s="17"/>
      <c r="K227" s="17"/>
      <c r="L227" s="2"/>
      <c r="M227" s="17"/>
      <c r="N227" s="17"/>
      <c r="O227" s="17"/>
    </row>
    <row r="228" spans="8:15" ht="15.75" customHeight="1">
      <c r="H228" s="17"/>
      <c r="K228" s="17"/>
      <c r="L228" s="2"/>
      <c r="M228" s="17"/>
      <c r="N228" s="17"/>
      <c r="O228" s="17"/>
    </row>
    <row r="229" spans="8:15" ht="15.75" customHeight="1">
      <c r="H229" s="17"/>
      <c r="K229" s="17"/>
      <c r="L229" s="2"/>
      <c r="M229" s="17"/>
      <c r="N229" s="17"/>
      <c r="O229" s="17"/>
    </row>
    <row r="230" spans="8:15" ht="15.75" customHeight="1">
      <c r="H230" s="17"/>
      <c r="K230" s="17"/>
      <c r="L230" s="2"/>
      <c r="M230" s="17"/>
      <c r="N230" s="17"/>
      <c r="O230" s="17"/>
    </row>
    <row r="231" spans="8:15" ht="15.75" customHeight="1">
      <c r="H231" s="17"/>
      <c r="K231" s="17"/>
      <c r="L231" s="2"/>
      <c r="M231" s="17"/>
      <c r="N231" s="17"/>
      <c r="O231" s="17"/>
    </row>
    <row r="232" spans="8:15" ht="15.75" customHeight="1">
      <c r="H232" s="17"/>
      <c r="K232" s="17"/>
      <c r="L232" s="2"/>
      <c r="M232" s="17"/>
      <c r="N232" s="17"/>
      <c r="O232" s="17"/>
    </row>
    <row r="233" spans="8:15" ht="15.75" customHeight="1">
      <c r="H233" s="17"/>
      <c r="K233" s="17"/>
      <c r="L233" s="2"/>
      <c r="M233" s="17"/>
      <c r="N233" s="17"/>
      <c r="O233" s="17"/>
    </row>
    <row r="234" spans="8:15" ht="15.75" customHeight="1">
      <c r="H234" s="17"/>
      <c r="K234" s="17"/>
      <c r="L234" s="2"/>
      <c r="M234" s="17"/>
      <c r="N234" s="17"/>
      <c r="O234" s="17"/>
    </row>
    <row r="235" spans="8:15" ht="15.75" customHeight="1">
      <c r="H235" s="17"/>
      <c r="K235" s="17"/>
      <c r="L235" s="2"/>
      <c r="M235" s="17"/>
      <c r="N235" s="17"/>
      <c r="O235" s="17"/>
    </row>
    <row r="236" spans="8:15" ht="15.75" customHeight="1">
      <c r="H236" s="17"/>
      <c r="K236" s="17"/>
      <c r="L236" s="2"/>
      <c r="M236" s="17"/>
      <c r="N236" s="17"/>
      <c r="O236" s="17"/>
    </row>
    <row r="237" spans="8:15" ht="15.75" customHeight="1">
      <c r="H237" s="17"/>
      <c r="K237" s="17"/>
      <c r="L237" s="2"/>
      <c r="M237" s="17"/>
      <c r="N237" s="17"/>
      <c r="O237" s="17"/>
    </row>
    <row r="238" spans="8:15" ht="15.75" customHeight="1">
      <c r="H238" s="17"/>
      <c r="K238" s="17"/>
      <c r="L238" s="2"/>
      <c r="M238" s="17"/>
      <c r="N238" s="17"/>
      <c r="O238" s="17"/>
    </row>
    <row r="239" spans="8:15" ht="15.75" customHeight="1">
      <c r="H239" s="17"/>
      <c r="K239" s="17"/>
      <c r="L239" s="2"/>
      <c r="M239" s="17"/>
      <c r="N239" s="17"/>
      <c r="O239" s="17"/>
    </row>
    <row r="240" spans="8:15" ht="15.75" customHeight="1">
      <c r="H240" s="17"/>
      <c r="K240" s="17"/>
      <c r="L240" s="2"/>
      <c r="M240" s="17"/>
      <c r="N240" s="17"/>
      <c r="O240" s="17"/>
    </row>
    <row r="241" spans="8:15" ht="15.75" customHeight="1">
      <c r="H241" s="17"/>
      <c r="K241" s="17"/>
      <c r="L241" s="2"/>
      <c r="M241" s="17"/>
      <c r="N241" s="17"/>
      <c r="O241" s="17"/>
    </row>
    <row r="242" spans="8:15" ht="15.75" customHeight="1">
      <c r="H242" s="17"/>
      <c r="K242" s="17"/>
      <c r="L242" s="2"/>
      <c r="M242" s="17"/>
      <c r="N242" s="17"/>
      <c r="O242" s="17"/>
    </row>
    <row r="243" spans="8:15" ht="15.75" customHeight="1">
      <c r="H243" s="17"/>
      <c r="K243" s="17"/>
      <c r="L243" s="2"/>
      <c r="M243" s="17"/>
      <c r="N243" s="17"/>
      <c r="O243" s="17"/>
    </row>
    <row r="244" spans="8:15" ht="15.75" customHeight="1">
      <c r="H244" s="17"/>
      <c r="K244" s="17"/>
      <c r="L244" s="2"/>
      <c r="M244" s="17"/>
      <c r="N244" s="17"/>
      <c r="O244" s="17"/>
    </row>
    <row r="245" spans="8:15" ht="15.75" customHeight="1">
      <c r="H245" s="17"/>
      <c r="K245" s="17"/>
      <c r="L245" s="2"/>
      <c r="M245" s="17"/>
      <c r="N245" s="17"/>
      <c r="O245" s="17"/>
    </row>
    <row r="246" spans="8:15" ht="15.75" customHeight="1">
      <c r="H246" s="17"/>
      <c r="K246" s="17"/>
      <c r="L246" s="2"/>
      <c r="M246" s="17"/>
      <c r="N246" s="17"/>
      <c r="O246" s="17"/>
    </row>
    <row r="247" spans="8:15" ht="15.75" customHeight="1">
      <c r="H247" s="17"/>
      <c r="K247" s="17"/>
      <c r="L247" s="2"/>
      <c r="M247" s="17"/>
      <c r="N247" s="17"/>
      <c r="O247" s="17"/>
    </row>
    <row r="248" spans="8:15" ht="15.75" customHeight="1">
      <c r="H248" s="17"/>
      <c r="K248" s="17"/>
      <c r="L248" s="2"/>
      <c r="M248" s="17"/>
      <c r="N248" s="17"/>
      <c r="O248" s="17"/>
    </row>
    <row r="249" spans="8:15" ht="15.75" customHeight="1">
      <c r="H249" s="17"/>
      <c r="K249" s="17"/>
      <c r="L249" s="2"/>
      <c r="M249" s="17"/>
      <c r="N249" s="17"/>
      <c r="O249" s="17"/>
    </row>
    <row r="250" spans="8:15" ht="15.75" customHeight="1">
      <c r="H250" s="17"/>
      <c r="K250" s="17"/>
      <c r="L250" s="2"/>
      <c r="M250" s="17"/>
      <c r="N250" s="17"/>
      <c r="O250" s="17"/>
    </row>
    <row r="251" spans="8:15" ht="15.75" customHeight="1">
      <c r="H251" s="17"/>
      <c r="K251" s="17"/>
      <c r="L251" s="2"/>
      <c r="M251" s="17"/>
      <c r="N251" s="17"/>
      <c r="O251" s="17"/>
    </row>
    <row r="252" spans="8:15" ht="15.75" customHeight="1">
      <c r="H252" s="17"/>
      <c r="K252" s="17"/>
      <c r="L252" s="2"/>
      <c r="M252" s="17"/>
      <c r="N252" s="17"/>
      <c r="O252" s="17"/>
    </row>
    <row r="253" spans="8:15" ht="15.75" customHeight="1">
      <c r="H253" s="17"/>
      <c r="K253" s="17"/>
      <c r="L253" s="2"/>
      <c r="M253" s="17"/>
      <c r="N253" s="17"/>
      <c r="O253" s="17"/>
    </row>
    <row r="254" spans="8:15" ht="15.75" customHeight="1">
      <c r="H254" s="17"/>
      <c r="K254" s="17"/>
      <c r="L254" s="2"/>
      <c r="M254" s="17"/>
      <c r="N254" s="17"/>
      <c r="O254" s="17"/>
    </row>
    <row r="255" spans="8:15" ht="15.75" customHeight="1">
      <c r="H255" s="17"/>
      <c r="K255" s="17"/>
      <c r="L255" s="2"/>
      <c r="M255" s="17"/>
      <c r="N255" s="17"/>
      <c r="O255" s="17"/>
    </row>
    <row r="256" spans="8:15" ht="15.75" customHeight="1">
      <c r="H256" s="17"/>
      <c r="K256" s="17"/>
      <c r="L256" s="2"/>
      <c r="M256" s="17"/>
      <c r="N256" s="17"/>
      <c r="O256" s="17"/>
    </row>
    <row r="257" spans="8:15" ht="15.75" customHeight="1">
      <c r="H257" s="17"/>
      <c r="K257" s="17"/>
      <c r="L257" s="2"/>
      <c r="M257" s="17"/>
      <c r="N257" s="17"/>
      <c r="O257" s="17"/>
    </row>
    <row r="258" spans="8:15" ht="15.75" customHeight="1">
      <c r="H258" s="17"/>
      <c r="K258" s="17"/>
      <c r="L258" s="2"/>
      <c r="M258" s="17"/>
      <c r="N258" s="17"/>
      <c r="O258" s="17"/>
    </row>
    <row r="259" spans="8:15" ht="15.75" customHeight="1">
      <c r="H259" s="17"/>
      <c r="K259" s="17"/>
      <c r="L259" s="2"/>
      <c r="M259" s="17"/>
      <c r="N259" s="17"/>
      <c r="O259" s="17"/>
    </row>
    <row r="260" spans="8:15" ht="15.75" customHeight="1">
      <c r="H260" s="17"/>
      <c r="K260" s="17"/>
      <c r="L260" s="2"/>
      <c r="M260" s="17"/>
      <c r="N260" s="17"/>
      <c r="O260" s="17"/>
    </row>
    <row r="261" spans="8:15" ht="15.75" customHeight="1">
      <c r="H261" s="17"/>
      <c r="K261" s="17"/>
      <c r="L261" s="2"/>
      <c r="M261" s="17"/>
      <c r="N261" s="17"/>
      <c r="O261" s="17"/>
    </row>
    <row r="262" spans="8:15" ht="15.75" customHeight="1">
      <c r="H262" s="17"/>
      <c r="K262" s="17"/>
      <c r="L262" s="2"/>
      <c r="M262" s="17"/>
      <c r="N262" s="17"/>
      <c r="O262" s="17"/>
    </row>
    <row r="263" spans="8:15" ht="15.75" customHeight="1">
      <c r="H263" s="17"/>
      <c r="K263" s="17"/>
      <c r="L263" s="2"/>
      <c r="M263" s="17"/>
      <c r="N263" s="17"/>
      <c r="O263" s="17"/>
    </row>
    <row r="264" spans="8:15" ht="15.75" customHeight="1">
      <c r="H264" s="17"/>
      <c r="K264" s="17"/>
      <c r="L264" s="2"/>
      <c r="M264" s="17"/>
      <c r="N264" s="17"/>
      <c r="O264" s="17"/>
    </row>
    <row r="265" spans="8:15" ht="15.75" customHeight="1">
      <c r="H265" s="17"/>
      <c r="K265" s="17"/>
      <c r="L265" s="2"/>
      <c r="M265" s="17"/>
      <c r="N265" s="17"/>
      <c r="O265" s="17"/>
    </row>
    <row r="266" spans="8:15" ht="15.75" customHeight="1">
      <c r="H266" s="17"/>
      <c r="K266" s="17"/>
      <c r="L266" s="2"/>
      <c r="M266" s="17"/>
      <c r="N266" s="17"/>
      <c r="O266" s="17"/>
    </row>
    <row r="267" spans="8:15" ht="15.75" customHeight="1">
      <c r="H267" s="17"/>
      <c r="K267" s="17"/>
      <c r="L267" s="2"/>
      <c r="M267" s="17"/>
      <c r="N267" s="17"/>
      <c r="O267" s="17"/>
    </row>
    <row r="268" spans="8:15" ht="15.75" customHeight="1">
      <c r="H268" s="17"/>
      <c r="K268" s="17"/>
      <c r="L268" s="2"/>
      <c r="M268" s="17"/>
      <c r="N268" s="17"/>
      <c r="O268" s="17"/>
    </row>
    <row r="269" spans="8:15" ht="15.75" customHeight="1">
      <c r="H269" s="17"/>
      <c r="K269" s="17"/>
      <c r="L269" s="2"/>
      <c r="M269" s="17"/>
      <c r="N269" s="17"/>
      <c r="O269" s="17"/>
    </row>
    <row r="270" spans="8:15" ht="15.75" customHeight="1">
      <c r="H270" s="17"/>
      <c r="K270" s="17"/>
      <c r="L270" s="2"/>
      <c r="M270" s="17"/>
      <c r="N270" s="17"/>
      <c r="O270" s="17"/>
    </row>
    <row r="271" spans="8:15" ht="15.75" customHeight="1">
      <c r="H271" s="17"/>
      <c r="K271" s="17"/>
      <c r="L271" s="2"/>
      <c r="M271" s="17"/>
      <c r="N271" s="17"/>
      <c r="O271" s="17"/>
    </row>
    <row r="272" spans="8:15" ht="15.75" customHeight="1">
      <c r="H272" s="17"/>
      <c r="K272" s="17"/>
      <c r="L272" s="2"/>
      <c r="M272" s="17"/>
      <c r="N272" s="17"/>
      <c r="O272" s="17"/>
    </row>
    <row r="273" spans="8:15" ht="15.75" customHeight="1">
      <c r="H273" s="17"/>
      <c r="K273" s="17"/>
      <c r="L273" s="2"/>
      <c r="M273" s="17"/>
      <c r="N273" s="17"/>
      <c r="O273" s="17"/>
    </row>
    <row r="274" spans="8:15" ht="15.75" customHeight="1">
      <c r="H274" s="17"/>
      <c r="K274" s="17"/>
      <c r="L274" s="2"/>
      <c r="M274" s="17"/>
      <c r="N274" s="17"/>
      <c r="O274" s="17"/>
    </row>
    <row r="275" spans="8:15" ht="15.75" customHeight="1">
      <c r="H275" s="17"/>
      <c r="K275" s="17"/>
      <c r="L275" s="2"/>
      <c r="M275" s="17"/>
      <c r="N275" s="17"/>
      <c r="O275" s="17"/>
    </row>
    <row r="276" spans="8:15" ht="15.75" customHeight="1">
      <c r="H276" s="17"/>
      <c r="K276" s="17"/>
      <c r="L276" s="2"/>
      <c r="M276" s="17"/>
      <c r="N276" s="17"/>
      <c r="O276" s="17"/>
    </row>
    <row r="277" spans="8:15" ht="15.75" customHeight="1">
      <c r="H277" s="17"/>
      <c r="K277" s="17"/>
      <c r="L277" s="2"/>
      <c r="M277" s="17"/>
      <c r="N277" s="17"/>
      <c r="O277" s="17"/>
    </row>
    <row r="278" spans="8:15" ht="15.75" customHeight="1">
      <c r="H278" s="17"/>
      <c r="K278" s="17"/>
      <c r="L278" s="2"/>
      <c r="M278" s="17"/>
      <c r="N278" s="17"/>
      <c r="O278" s="17"/>
    </row>
    <row r="279" spans="8:15" ht="15.75" customHeight="1">
      <c r="H279" s="17"/>
      <c r="K279" s="17"/>
      <c r="L279" s="2"/>
      <c r="M279" s="17"/>
      <c r="N279" s="17"/>
      <c r="O279" s="17"/>
    </row>
    <row r="280" spans="8:15" ht="15.75" customHeight="1">
      <c r="H280" s="17"/>
      <c r="K280" s="17"/>
      <c r="L280" s="2"/>
      <c r="M280" s="17"/>
      <c r="N280" s="17"/>
      <c r="O280" s="17"/>
    </row>
    <row r="281" spans="8:15" ht="15.75" customHeight="1">
      <c r="H281" s="17"/>
      <c r="K281" s="17"/>
      <c r="L281" s="2"/>
      <c r="M281" s="17"/>
      <c r="N281" s="17"/>
      <c r="O281" s="17"/>
    </row>
    <row r="282" spans="8:15" ht="15.75" customHeight="1">
      <c r="H282" s="17"/>
      <c r="K282" s="17"/>
      <c r="L282" s="2"/>
      <c r="M282" s="17"/>
      <c r="N282" s="17"/>
      <c r="O282" s="17"/>
    </row>
    <row r="283" spans="8:15" ht="15.75" customHeight="1">
      <c r="H283" s="17"/>
      <c r="K283" s="17"/>
      <c r="L283" s="2"/>
      <c r="M283" s="17"/>
      <c r="N283" s="17"/>
      <c r="O283" s="17"/>
    </row>
    <row r="284" spans="8:15" ht="15.75" customHeight="1">
      <c r="H284" s="17"/>
      <c r="K284" s="17"/>
      <c r="L284" s="2"/>
      <c r="M284" s="17"/>
      <c r="N284" s="17"/>
      <c r="O284" s="17"/>
    </row>
    <row r="285" spans="8:15" ht="15.75" customHeight="1">
      <c r="H285" s="17"/>
      <c r="K285" s="17"/>
      <c r="L285" s="2"/>
      <c r="M285" s="17"/>
      <c r="N285" s="17"/>
      <c r="O285" s="17"/>
    </row>
    <row r="286" spans="8:15" ht="15.75" customHeight="1">
      <c r="H286" s="17"/>
      <c r="K286" s="17"/>
      <c r="L286" s="2"/>
      <c r="M286" s="17"/>
      <c r="N286" s="17"/>
      <c r="O286" s="17"/>
    </row>
    <row r="287" spans="8:15" ht="15.75" customHeight="1">
      <c r="H287" s="17"/>
      <c r="K287" s="17"/>
      <c r="L287" s="2"/>
      <c r="M287" s="17"/>
      <c r="N287" s="17"/>
      <c r="O287" s="17"/>
    </row>
    <row r="288" spans="8:15" ht="15.75" customHeight="1">
      <c r="H288" s="17"/>
      <c r="K288" s="17"/>
      <c r="L288" s="2"/>
      <c r="M288" s="17"/>
      <c r="N288" s="17"/>
      <c r="O288" s="17"/>
    </row>
    <row r="289" spans="8:15" ht="15.75" customHeight="1">
      <c r="H289" s="17"/>
      <c r="K289" s="17"/>
      <c r="L289" s="2"/>
      <c r="M289" s="17"/>
      <c r="N289" s="17"/>
      <c r="O289" s="17"/>
    </row>
    <row r="290" spans="8:15" ht="15.75" customHeight="1">
      <c r="H290" s="17"/>
      <c r="K290" s="17"/>
      <c r="L290" s="2"/>
      <c r="M290" s="17"/>
      <c r="N290" s="17"/>
      <c r="O290" s="17"/>
    </row>
    <row r="291" spans="8:15" ht="15.75" customHeight="1">
      <c r="H291" s="17"/>
      <c r="K291" s="17"/>
      <c r="L291" s="2"/>
      <c r="M291" s="17"/>
      <c r="N291" s="17"/>
      <c r="O291" s="17"/>
    </row>
    <row r="292" spans="8:15" ht="15.75" customHeight="1">
      <c r="H292" s="17"/>
      <c r="K292" s="17"/>
      <c r="L292" s="2"/>
      <c r="M292" s="17"/>
      <c r="N292" s="17"/>
      <c r="O292" s="17"/>
    </row>
    <row r="293" spans="8:15" ht="15.75" customHeight="1">
      <c r="H293" s="17"/>
      <c r="K293" s="17"/>
      <c r="L293" s="2"/>
      <c r="M293" s="17"/>
      <c r="N293" s="17"/>
      <c r="O293" s="17"/>
    </row>
    <row r="294" spans="8:15" ht="15.75" customHeight="1">
      <c r="H294" s="17"/>
      <c r="K294" s="17"/>
      <c r="L294" s="2"/>
      <c r="M294" s="17"/>
      <c r="N294" s="17"/>
      <c r="O294" s="17"/>
    </row>
    <row r="295" spans="8:15" ht="15.75" customHeight="1">
      <c r="H295" s="17"/>
      <c r="K295" s="17"/>
      <c r="L295" s="2"/>
      <c r="M295" s="17"/>
      <c r="N295" s="17"/>
      <c r="O295" s="17"/>
    </row>
    <row r="296" spans="8:15" ht="15.75" customHeight="1">
      <c r="H296" s="17"/>
      <c r="K296" s="17"/>
      <c r="L296" s="2"/>
      <c r="M296" s="17"/>
      <c r="N296" s="17"/>
      <c r="O296" s="17"/>
    </row>
    <row r="297" spans="8:15" ht="15.75" customHeight="1">
      <c r="H297" s="17"/>
      <c r="K297" s="17"/>
      <c r="L297" s="2"/>
      <c r="M297" s="17"/>
      <c r="N297" s="17"/>
      <c r="O297" s="17"/>
    </row>
    <row r="298" spans="8:15" ht="15.75" customHeight="1">
      <c r="H298" s="17"/>
      <c r="K298" s="17"/>
      <c r="L298" s="2"/>
      <c r="M298" s="17"/>
      <c r="N298" s="17"/>
      <c r="O298" s="17"/>
    </row>
    <row r="299" spans="8:15" ht="15.75" customHeight="1">
      <c r="H299" s="17"/>
      <c r="K299" s="17"/>
      <c r="L299" s="2"/>
      <c r="M299" s="17"/>
      <c r="N299" s="17"/>
      <c r="O299" s="17"/>
    </row>
    <row r="300" spans="8:15" ht="15.75" customHeight="1">
      <c r="H300" s="17"/>
      <c r="K300" s="17"/>
      <c r="L300" s="2"/>
      <c r="M300" s="17"/>
      <c r="N300" s="17"/>
      <c r="O300" s="17"/>
    </row>
    <row r="301" spans="8:15" ht="15.75" customHeight="1">
      <c r="H301" s="17"/>
      <c r="K301" s="17"/>
      <c r="L301" s="2"/>
      <c r="M301" s="17"/>
      <c r="N301" s="17"/>
      <c r="O301" s="17"/>
    </row>
    <row r="302" spans="8:15" ht="15.75" customHeight="1">
      <c r="H302" s="17"/>
      <c r="K302" s="17"/>
      <c r="L302" s="2"/>
      <c r="M302" s="17"/>
      <c r="N302" s="17"/>
      <c r="O302" s="17"/>
    </row>
    <row r="303" spans="8:15" ht="15.75" customHeight="1">
      <c r="H303" s="17"/>
      <c r="K303" s="17"/>
      <c r="L303" s="2"/>
      <c r="M303" s="17"/>
      <c r="N303" s="17"/>
      <c r="O303" s="17"/>
    </row>
    <row r="304" spans="8:15" ht="15.75" customHeight="1">
      <c r="H304" s="17"/>
      <c r="K304" s="17"/>
      <c r="L304" s="2"/>
      <c r="M304" s="17"/>
      <c r="N304" s="17"/>
      <c r="O304" s="17"/>
    </row>
    <row r="305" spans="8:15" ht="15.75" customHeight="1">
      <c r="H305" s="17"/>
      <c r="K305" s="17"/>
      <c r="L305" s="2"/>
      <c r="M305" s="17"/>
      <c r="N305" s="17"/>
      <c r="O305" s="17"/>
    </row>
    <row r="306" spans="8:15" ht="15.75" customHeight="1">
      <c r="H306" s="17"/>
      <c r="K306" s="17"/>
      <c r="L306" s="2"/>
      <c r="M306" s="17"/>
      <c r="N306" s="17"/>
      <c r="O306" s="17"/>
    </row>
    <row r="307" spans="8:15" ht="15.75" customHeight="1">
      <c r="H307" s="17"/>
      <c r="K307" s="17"/>
      <c r="L307" s="2"/>
      <c r="M307" s="17"/>
      <c r="N307" s="17"/>
      <c r="O307" s="17"/>
    </row>
    <row r="308" spans="8:15" ht="15.75" customHeight="1">
      <c r="H308" s="17"/>
      <c r="K308" s="17"/>
      <c r="L308" s="2"/>
      <c r="M308" s="17"/>
      <c r="N308" s="17"/>
      <c r="O308" s="17"/>
    </row>
    <row r="309" spans="8:15" ht="15.75" customHeight="1">
      <c r="H309" s="17"/>
      <c r="K309" s="17"/>
      <c r="L309" s="2"/>
      <c r="M309" s="17"/>
      <c r="N309" s="17"/>
      <c r="O309" s="17"/>
    </row>
    <row r="310" spans="8:15" ht="15.75" customHeight="1">
      <c r="H310" s="17"/>
      <c r="K310" s="17"/>
      <c r="L310" s="2"/>
      <c r="M310" s="17"/>
      <c r="N310" s="17"/>
      <c r="O310" s="17"/>
    </row>
    <row r="311" spans="8:15" ht="15.75" customHeight="1">
      <c r="H311" s="17"/>
      <c r="K311" s="17"/>
      <c r="L311" s="2"/>
      <c r="M311" s="17"/>
      <c r="N311" s="17"/>
      <c r="O311" s="17"/>
    </row>
    <row r="312" spans="8:15" ht="15.75" customHeight="1">
      <c r="H312" s="17"/>
      <c r="K312" s="17"/>
      <c r="L312" s="2"/>
      <c r="M312" s="17"/>
      <c r="N312" s="17"/>
      <c r="O312" s="17"/>
    </row>
    <row r="313" spans="8:15" ht="15.75" customHeight="1">
      <c r="H313" s="17"/>
      <c r="K313" s="17"/>
      <c r="L313" s="2"/>
      <c r="M313" s="17"/>
      <c r="N313" s="17"/>
      <c r="O313" s="17"/>
    </row>
    <row r="314" spans="8:15" ht="15.75" customHeight="1">
      <c r="H314" s="17"/>
      <c r="K314" s="17"/>
      <c r="L314" s="2"/>
      <c r="M314" s="17"/>
      <c r="N314" s="17"/>
      <c r="O314" s="17"/>
    </row>
    <row r="315" spans="8:15" ht="15.75" customHeight="1">
      <c r="H315" s="17"/>
      <c r="K315" s="17"/>
      <c r="L315" s="2"/>
      <c r="M315" s="17"/>
      <c r="N315" s="17"/>
      <c r="O315" s="17"/>
    </row>
    <row r="316" spans="8:15" ht="15.75" customHeight="1">
      <c r="H316" s="17"/>
      <c r="K316" s="17"/>
      <c r="L316" s="2"/>
      <c r="M316" s="17"/>
      <c r="N316" s="17"/>
      <c r="O316" s="17"/>
    </row>
    <row r="317" spans="8:15" ht="15.75" customHeight="1">
      <c r="H317" s="17"/>
      <c r="K317" s="17"/>
      <c r="L317" s="2"/>
      <c r="M317" s="17"/>
      <c r="N317" s="17"/>
      <c r="O317" s="17"/>
    </row>
    <row r="318" spans="8:15" ht="15.75" customHeight="1">
      <c r="H318" s="17"/>
      <c r="K318" s="17"/>
      <c r="L318" s="2"/>
      <c r="M318" s="17"/>
      <c r="N318" s="17"/>
      <c r="O318" s="17"/>
    </row>
    <row r="319" spans="8:15" ht="15.75" customHeight="1">
      <c r="H319" s="17"/>
      <c r="K319" s="17"/>
      <c r="L319" s="2"/>
      <c r="M319" s="17"/>
      <c r="N319" s="17"/>
      <c r="O319" s="17"/>
    </row>
    <row r="320" spans="8:15" ht="15.75" customHeight="1">
      <c r="H320" s="17"/>
      <c r="K320" s="17"/>
      <c r="L320" s="2"/>
      <c r="M320" s="17"/>
      <c r="N320" s="17"/>
      <c r="O320" s="17"/>
    </row>
    <row r="321" spans="8:15" ht="15.75" customHeight="1">
      <c r="H321" s="17"/>
      <c r="K321" s="17"/>
      <c r="L321" s="2"/>
      <c r="M321" s="17"/>
      <c r="N321" s="17"/>
      <c r="O321" s="17"/>
    </row>
    <row r="322" spans="8:15" ht="15.75" customHeight="1">
      <c r="H322" s="17"/>
      <c r="K322" s="17"/>
      <c r="L322" s="2"/>
      <c r="M322" s="17"/>
      <c r="N322" s="17"/>
      <c r="O322" s="17"/>
    </row>
    <row r="323" spans="8:15" ht="15.75" customHeight="1">
      <c r="H323" s="17"/>
      <c r="K323" s="17"/>
      <c r="L323" s="2"/>
      <c r="M323" s="17"/>
      <c r="N323" s="17"/>
      <c r="O323" s="17"/>
    </row>
    <row r="324" spans="8:15" ht="15.75" customHeight="1">
      <c r="H324" s="17"/>
      <c r="K324" s="17"/>
      <c r="L324" s="2"/>
      <c r="M324" s="17"/>
      <c r="N324" s="17"/>
      <c r="O324" s="17"/>
    </row>
    <row r="325" spans="8:15" ht="15.75" customHeight="1">
      <c r="H325" s="17"/>
      <c r="K325" s="17"/>
      <c r="L325" s="2"/>
      <c r="M325" s="17"/>
      <c r="N325" s="17"/>
      <c r="O325" s="17"/>
    </row>
    <row r="326" spans="8:15" ht="15.75" customHeight="1">
      <c r="H326" s="17"/>
      <c r="K326" s="17"/>
      <c r="L326" s="2"/>
      <c r="M326" s="17"/>
      <c r="N326" s="17"/>
      <c r="O326" s="17"/>
    </row>
    <row r="327" spans="8:15" ht="15.75" customHeight="1">
      <c r="H327" s="17"/>
      <c r="K327" s="17"/>
      <c r="L327" s="2"/>
      <c r="M327" s="17"/>
      <c r="N327" s="17"/>
      <c r="O327" s="17"/>
    </row>
    <row r="328" spans="8:15" ht="15.75" customHeight="1">
      <c r="H328" s="17"/>
      <c r="K328" s="17"/>
      <c r="L328" s="2"/>
      <c r="M328" s="17"/>
      <c r="N328" s="17"/>
      <c r="O328" s="17"/>
    </row>
    <row r="329" spans="8:15" ht="15.75" customHeight="1">
      <c r="H329" s="17"/>
      <c r="K329" s="17"/>
      <c r="L329" s="2"/>
      <c r="M329" s="17"/>
      <c r="N329" s="17"/>
      <c r="O329" s="17"/>
    </row>
    <row r="330" spans="8:15" ht="15.75" customHeight="1">
      <c r="H330" s="17"/>
      <c r="K330" s="17"/>
      <c r="L330" s="2"/>
      <c r="M330" s="17"/>
      <c r="N330" s="17"/>
      <c r="O330" s="17"/>
    </row>
    <row r="331" spans="8:15" ht="15.75" customHeight="1">
      <c r="H331" s="17"/>
      <c r="K331" s="17"/>
      <c r="L331" s="2"/>
      <c r="M331" s="17"/>
      <c r="N331" s="17"/>
      <c r="O331" s="17"/>
    </row>
    <row r="332" spans="8:15" ht="15.75" customHeight="1">
      <c r="H332" s="17"/>
      <c r="K332" s="17"/>
      <c r="L332" s="2"/>
      <c r="M332" s="17"/>
      <c r="N332" s="17"/>
      <c r="O332" s="17"/>
    </row>
    <row r="333" spans="8:15" ht="15.75" customHeight="1">
      <c r="H333" s="17"/>
      <c r="K333" s="17"/>
      <c r="L333" s="2"/>
      <c r="M333" s="17"/>
      <c r="N333" s="17"/>
      <c r="O333" s="17"/>
    </row>
    <row r="334" spans="8:15" ht="15.75" customHeight="1">
      <c r="H334" s="17"/>
      <c r="K334" s="17"/>
      <c r="L334" s="2"/>
      <c r="M334" s="17"/>
      <c r="N334" s="17"/>
      <c r="O334" s="17"/>
    </row>
    <row r="335" spans="8:15" ht="15.75" customHeight="1">
      <c r="H335" s="17"/>
      <c r="K335" s="17"/>
      <c r="L335" s="2"/>
      <c r="M335" s="17"/>
      <c r="N335" s="17"/>
      <c r="O335" s="17"/>
    </row>
    <row r="336" spans="8:15" ht="15.75" customHeight="1">
      <c r="H336" s="17"/>
      <c r="K336" s="17"/>
      <c r="L336" s="2"/>
      <c r="M336" s="17"/>
      <c r="N336" s="17"/>
      <c r="O336" s="17"/>
    </row>
    <row r="337" spans="8:15" ht="15.75" customHeight="1">
      <c r="H337" s="17"/>
      <c r="K337" s="17"/>
      <c r="L337" s="2"/>
      <c r="M337" s="17"/>
      <c r="N337" s="17"/>
      <c r="O337" s="17"/>
    </row>
    <row r="338" spans="8:15" ht="15.75" customHeight="1">
      <c r="H338" s="17"/>
      <c r="K338" s="17"/>
      <c r="L338" s="2"/>
      <c r="M338" s="17"/>
      <c r="N338" s="17"/>
      <c r="O338" s="17"/>
    </row>
    <row r="339" spans="8:15" ht="15.75" customHeight="1">
      <c r="H339" s="17"/>
      <c r="K339" s="17"/>
      <c r="L339" s="2"/>
      <c r="M339" s="17"/>
      <c r="N339" s="17"/>
      <c r="O339" s="17"/>
    </row>
    <row r="340" spans="8:15" ht="15.75" customHeight="1">
      <c r="H340" s="17"/>
      <c r="K340" s="17"/>
      <c r="L340" s="2"/>
      <c r="M340" s="17"/>
      <c r="N340" s="17"/>
      <c r="O340" s="17"/>
    </row>
    <row r="341" spans="8:15" ht="15.75" customHeight="1">
      <c r="H341" s="17"/>
      <c r="K341" s="17"/>
      <c r="L341" s="2"/>
      <c r="M341" s="17"/>
      <c r="N341" s="17"/>
      <c r="O341" s="17"/>
    </row>
    <row r="342" spans="8:15" ht="15.75" customHeight="1">
      <c r="H342" s="17"/>
      <c r="K342" s="17"/>
      <c r="L342" s="2"/>
      <c r="M342" s="17"/>
      <c r="N342" s="17"/>
      <c r="O342" s="17"/>
    </row>
    <row r="343" spans="8:15" ht="15.75" customHeight="1">
      <c r="H343" s="17"/>
      <c r="K343" s="17"/>
      <c r="L343" s="2"/>
      <c r="M343" s="17"/>
      <c r="N343" s="17"/>
      <c r="O343" s="17"/>
    </row>
    <row r="344" spans="8:15" ht="15.75" customHeight="1">
      <c r="H344" s="17"/>
      <c r="K344" s="17"/>
      <c r="L344" s="2"/>
      <c r="M344" s="17"/>
      <c r="N344" s="17"/>
      <c r="O344" s="17"/>
    </row>
    <row r="345" spans="8:15" ht="15.75" customHeight="1">
      <c r="H345" s="17"/>
      <c r="K345" s="17"/>
      <c r="L345" s="2"/>
      <c r="M345" s="17"/>
      <c r="N345" s="17"/>
      <c r="O345" s="17"/>
    </row>
    <row r="346" spans="8:15" ht="15.75" customHeight="1">
      <c r="H346" s="17"/>
      <c r="K346" s="17"/>
      <c r="L346" s="2"/>
      <c r="M346" s="17"/>
      <c r="N346" s="17"/>
      <c r="O346" s="17"/>
    </row>
    <row r="347" spans="8:15" ht="15.75" customHeight="1">
      <c r="H347" s="17"/>
      <c r="K347" s="17"/>
      <c r="L347" s="2"/>
      <c r="M347" s="17"/>
      <c r="N347" s="17"/>
      <c r="O347" s="17"/>
    </row>
    <row r="348" spans="8:15" ht="15.75" customHeight="1">
      <c r="H348" s="17"/>
      <c r="K348" s="17"/>
      <c r="L348" s="2"/>
      <c r="M348" s="17"/>
      <c r="N348" s="17"/>
      <c r="O348" s="17"/>
    </row>
    <row r="349" spans="8:15" ht="15.75" customHeight="1">
      <c r="H349" s="17"/>
      <c r="K349" s="17"/>
      <c r="L349" s="2"/>
      <c r="M349" s="17"/>
      <c r="N349" s="17"/>
      <c r="O349" s="17"/>
    </row>
    <row r="350" spans="8:15" ht="15.75" customHeight="1">
      <c r="H350" s="17"/>
      <c r="K350" s="17"/>
      <c r="L350" s="2"/>
      <c r="M350" s="17"/>
      <c r="N350" s="17"/>
      <c r="O350" s="17"/>
    </row>
    <row r="351" spans="8:15" ht="15.75" customHeight="1">
      <c r="H351" s="17"/>
      <c r="K351" s="17"/>
      <c r="L351" s="2"/>
      <c r="M351" s="17"/>
      <c r="N351" s="17"/>
      <c r="O351" s="17"/>
    </row>
    <row r="352" spans="8:15" ht="15.75" customHeight="1">
      <c r="H352" s="17"/>
      <c r="K352" s="17"/>
      <c r="L352" s="2"/>
      <c r="M352" s="17"/>
      <c r="N352" s="17"/>
      <c r="O352" s="17"/>
    </row>
    <row r="353" spans="8:15" ht="15.75" customHeight="1">
      <c r="H353" s="17"/>
      <c r="K353" s="17"/>
      <c r="L353" s="2"/>
      <c r="M353" s="17"/>
      <c r="N353" s="17"/>
      <c r="O353" s="17"/>
    </row>
    <row r="354" spans="8:15" ht="15.75" customHeight="1">
      <c r="H354" s="17"/>
      <c r="K354" s="17"/>
      <c r="L354" s="2"/>
      <c r="M354" s="17"/>
      <c r="N354" s="17"/>
      <c r="O354" s="17"/>
    </row>
    <row r="355" spans="8:15" ht="15.75" customHeight="1">
      <c r="H355" s="17"/>
      <c r="K355" s="17"/>
      <c r="L355" s="2"/>
      <c r="M355" s="17"/>
      <c r="N355" s="17"/>
      <c r="O355" s="17"/>
    </row>
    <row r="356" spans="8:15" ht="15.75" customHeight="1">
      <c r="H356" s="17"/>
      <c r="K356" s="17"/>
      <c r="L356" s="2"/>
      <c r="M356" s="17"/>
      <c r="N356" s="17"/>
      <c r="O356" s="17"/>
    </row>
    <row r="357" spans="8:15" ht="15.75" customHeight="1">
      <c r="H357" s="17"/>
      <c r="K357" s="17"/>
      <c r="L357" s="2"/>
      <c r="M357" s="17"/>
      <c r="N357" s="17"/>
      <c r="O357" s="17"/>
    </row>
    <row r="358" spans="8:15" ht="15.75" customHeight="1">
      <c r="H358" s="17"/>
      <c r="K358" s="17"/>
      <c r="L358" s="2"/>
      <c r="M358" s="17"/>
      <c r="N358" s="17"/>
      <c r="O358" s="17"/>
    </row>
    <row r="359" spans="8:15" ht="15.75" customHeight="1">
      <c r="H359" s="17"/>
      <c r="K359" s="17"/>
      <c r="L359" s="2"/>
      <c r="M359" s="17"/>
      <c r="N359" s="17"/>
      <c r="O359" s="17"/>
    </row>
    <row r="360" spans="8:15" ht="15.75" customHeight="1">
      <c r="H360" s="17"/>
      <c r="K360" s="17"/>
      <c r="L360" s="2"/>
      <c r="M360" s="17"/>
      <c r="N360" s="17"/>
      <c r="O360" s="17"/>
    </row>
    <row r="361" spans="8:15" ht="15.75" customHeight="1">
      <c r="H361" s="17"/>
      <c r="K361" s="17"/>
      <c r="L361" s="2"/>
      <c r="M361" s="17"/>
      <c r="N361" s="17"/>
      <c r="O361" s="17"/>
    </row>
    <row r="362" spans="8:15" ht="15.75" customHeight="1">
      <c r="H362" s="17"/>
      <c r="K362" s="17"/>
      <c r="L362" s="2"/>
      <c r="M362" s="17"/>
      <c r="N362" s="17"/>
      <c r="O362" s="17"/>
    </row>
    <row r="363" spans="8:15" ht="15.75" customHeight="1">
      <c r="H363" s="17"/>
      <c r="K363" s="17"/>
      <c r="L363" s="2"/>
      <c r="M363" s="17"/>
      <c r="N363" s="17"/>
      <c r="O363" s="17"/>
    </row>
    <row r="364" spans="8:15" ht="15.75" customHeight="1">
      <c r="H364" s="17"/>
      <c r="K364" s="17"/>
      <c r="L364" s="2"/>
      <c r="M364" s="17"/>
      <c r="N364" s="17"/>
      <c r="O364" s="17"/>
    </row>
    <row r="365" spans="8:15" ht="15.75" customHeight="1">
      <c r="H365" s="17"/>
      <c r="K365" s="17"/>
      <c r="L365" s="2"/>
      <c r="M365" s="17"/>
      <c r="N365" s="17"/>
      <c r="O365" s="17"/>
    </row>
    <row r="366" spans="8:15" ht="15.75" customHeight="1">
      <c r="H366" s="17"/>
      <c r="K366" s="17"/>
      <c r="L366" s="2"/>
      <c r="M366" s="17"/>
      <c r="N366" s="17"/>
      <c r="O366" s="17"/>
    </row>
    <row r="367" spans="8:15" ht="15.75" customHeight="1">
      <c r="H367" s="17"/>
      <c r="K367" s="17"/>
      <c r="L367" s="2"/>
      <c r="M367" s="17"/>
      <c r="N367" s="17"/>
      <c r="O367" s="17"/>
    </row>
    <row r="368" spans="8:15" ht="15.75" customHeight="1">
      <c r="H368" s="17"/>
      <c r="K368" s="17"/>
      <c r="L368" s="2"/>
      <c r="M368" s="17"/>
      <c r="N368" s="17"/>
      <c r="O368" s="17"/>
    </row>
    <row r="369" spans="8:15" ht="15.75" customHeight="1">
      <c r="H369" s="17"/>
      <c r="K369" s="17"/>
      <c r="L369" s="2"/>
      <c r="M369" s="17"/>
      <c r="N369" s="17"/>
      <c r="O369" s="17"/>
    </row>
    <row r="370" spans="8:15" ht="15.75" customHeight="1">
      <c r="H370" s="17"/>
      <c r="K370" s="17"/>
      <c r="L370" s="2"/>
      <c r="M370" s="17"/>
      <c r="N370" s="17"/>
      <c r="O370" s="17"/>
    </row>
    <row r="371" spans="8:15" ht="15.75" customHeight="1">
      <c r="H371" s="17"/>
      <c r="K371" s="17"/>
      <c r="L371" s="2"/>
      <c r="M371" s="17"/>
      <c r="N371" s="17"/>
      <c r="O371" s="17"/>
    </row>
    <row r="372" spans="8:15" ht="15.75" customHeight="1">
      <c r="H372" s="17"/>
      <c r="K372" s="17"/>
      <c r="L372" s="2"/>
      <c r="M372" s="17"/>
      <c r="N372" s="17"/>
      <c r="O372" s="17"/>
    </row>
    <row r="373" spans="8:15" ht="15.75" customHeight="1">
      <c r="H373" s="17"/>
      <c r="K373" s="17"/>
      <c r="L373" s="2"/>
      <c r="M373" s="17"/>
      <c r="N373" s="17"/>
      <c r="O373" s="17"/>
    </row>
    <row r="374" spans="8:15" ht="15.75" customHeight="1">
      <c r="H374" s="17"/>
      <c r="K374" s="17"/>
      <c r="L374" s="2"/>
      <c r="M374" s="17"/>
      <c r="N374" s="17"/>
      <c r="O374" s="17"/>
    </row>
    <row r="375" spans="8:15" ht="15.75" customHeight="1">
      <c r="H375" s="17"/>
      <c r="K375" s="17"/>
      <c r="L375" s="2"/>
      <c r="M375" s="17"/>
      <c r="N375" s="17"/>
      <c r="O375" s="17"/>
    </row>
    <row r="376" spans="8:15" ht="15.75" customHeight="1">
      <c r="H376" s="17"/>
      <c r="K376" s="17"/>
      <c r="L376" s="2"/>
      <c r="M376" s="17"/>
      <c r="N376" s="17"/>
      <c r="O376" s="17"/>
    </row>
    <row r="377" spans="8:15" ht="15.75" customHeight="1">
      <c r="H377" s="17"/>
      <c r="K377" s="17"/>
      <c r="L377" s="2"/>
      <c r="M377" s="17"/>
      <c r="N377" s="17"/>
      <c r="O377" s="17"/>
    </row>
    <row r="378" spans="8:15" ht="15.75" customHeight="1">
      <c r="H378" s="17"/>
      <c r="K378" s="17"/>
      <c r="L378" s="2"/>
      <c r="M378" s="17"/>
      <c r="N378" s="17"/>
      <c r="O378" s="17"/>
    </row>
    <row r="379" spans="8:15" ht="15.75" customHeight="1">
      <c r="H379" s="17"/>
      <c r="K379" s="17"/>
      <c r="L379" s="2"/>
      <c r="M379" s="17"/>
      <c r="N379" s="17"/>
      <c r="O379" s="17"/>
    </row>
    <row r="380" spans="8:15" ht="15.75" customHeight="1">
      <c r="H380" s="17"/>
      <c r="K380" s="17"/>
      <c r="L380" s="2"/>
      <c r="M380" s="17"/>
      <c r="N380" s="17"/>
      <c r="O380" s="17"/>
    </row>
    <row r="381" spans="8:15" ht="15.75" customHeight="1">
      <c r="H381" s="17"/>
      <c r="K381" s="17"/>
      <c r="L381" s="2"/>
      <c r="M381" s="17"/>
      <c r="N381" s="17"/>
      <c r="O381" s="17"/>
    </row>
    <row r="382" spans="8:15" ht="15.75" customHeight="1">
      <c r="H382" s="17"/>
      <c r="K382" s="17"/>
      <c r="L382" s="2"/>
      <c r="M382" s="17"/>
      <c r="N382" s="17"/>
      <c r="O382" s="17"/>
    </row>
    <row r="383" spans="8:15" ht="15.75" customHeight="1">
      <c r="H383" s="17"/>
      <c r="K383" s="17"/>
      <c r="L383" s="2"/>
      <c r="M383" s="17"/>
      <c r="N383" s="17"/>
      <c r="O383" s="17"/>
    </row>
    <row r="384" spans="8:15" ht="15.75" customHeight="1">
      <c r="H384" s="17"/>
      <c r="K384" s="17"/>
      <c r="L384" s="2"/>
      <c r="M384" s="17"/>
      <c r="N384" s="17"/>
      <c r="O384" s="17"/>
    </row>
    <row r="385" spans="8:15" ht="15.75" customHeight="1">
      <c r="H385" s="17"/>
      <c r="K385" s="17"/>
      <c r="L385" s="2"/>
      <c r="M385" s="17"/>
      <c r="N385" s="17"/>
      <c r="O385" s="17"/>
    </row>
    <row r="386" spans="8:15" ht="15.75" customHeight="1">
      <c r="H386" s="17"/>
      <c r="K386" s="17"/>
      <c r="L386" s="2"/>
      <c r="M386" s="17"/>
      <c r="N386" s="17"/>
      <c r="O386" s="17"/>
    </row>
    <row r="387" spans="8:15" ht="15.75" customHeight="1">
      <c r="H387" s="17"/>
      <c r="K387" s="17"/>
      <c r="L387" s="2"/>
      <c r="M387" s="17"/>
      <c r="N387" s="17"/>
      <c r="O387" s="17"/>
    </row>
    <row r="388" spans="8:15" ht="15.75" customHeight="1">
      <c r="H388" s="17"/>
      <c r="K388" s="17"/>
      <c r="L388" s="2"/>
      <c r="M388" s="17"/>
      <c r="N388" s="17"/>
      <c r="O388" s="17"/>
    </row>
    <row r="389" spans="8:15" ht="15.75" customHeight="1">
      <c r="H389" s="17"/>
      <c r="K389" s="17"/>
      <c r="L389" s="2"/>
      <c r="M389" s="17"/>
      <c r="N389" s="17"/>
      <c r="O389" s="17"/>
    </row>
    <row r="390" spans="8:15" ht="15.75" customHeight="1">
      <c r="H390" s="17"/>
      <c r="K390" s="17"/>
      <c r="L390" s="2"/>
      <c r="M390" s="17"/>
      <c r="N390" s="17"/>
      <c r="O390" s="17"/>
    </row>
    <row r="391" spans="8:15" ht="15.75" customHeight="1">
      <c r="H391" s="17"/>
      <c r="K391" s="17"/>
      <c r="L391" s="2"/>
      <c r="M391" s="17"/>
      <c r="N391" s="17"/>
      <c r="O391" s="17"/>
    </row>
    <row r="392" spans="8:15" ht="15.75" customHeight="1">
      <c r="H392" s="17"/>
      <c r="K392" s="17"/>
      <c r="L392" s="2"/>
      <c r="M392" s="17"/>
      <c r="N392" s="17"/>
      <c r="O392" s="17"/>
    </row>
    <row r="393" spans="8:15" ht="15.75" customHeight="1">
      <c r="H393" s="17"/>
      <c r="K393" s="17"/>
      <c r="L393" s="2"/>
      <c r="M393" s="17"/>
      <c r="N393" s="17"/>
      <c r="O393" s="17"/>
    </row>
    <row r="394" spans="8:15" ht="15.75" customHeight="1">
      <c r="H394" s="17"/>
      <c r="K394" s="17"/>
      <c r="L394" s="2"/>
      <c r="M394" s="17"/>
      <c r="N394" s="17"/>
      <c r="O394" s="17"/>
    </row>
    <row r="395" spans="8:15" ht="15.75" customHeight="1">
      <c r="H395" s="17"/>
      <c r="K395" s="17"/>
      <c r="L395" s="2"/>
      <c r="M395" s="17"/>
      <c r="N395" s="17"/>
      <c r="O395" s="17"/>
    </row>
    <row r="396" spans="8:15" ht="15.75" customHeight="1">
      <c r="H396" s="17"/>
      <c r="K396" s="17"/>
      <c r="L396" s="2"/>
      <c r="M396" s="17"/>
      <c r="N396" s="17"/>
      <c r="O396" s="17"/>
    </row>
    <row r="397" spans="8:15" ht="15.75" customHeight="1">
      <c r="H397" s="17"/>
      <c r="K397" s="17"/>
      <c r="L397" s="2"/>
      <c r="M397" s="17"/>
      <c r="N397" s="17"/>
      <c r="O397" s="17"/>
    </row>
    <row r="398" spans="8:15" ht="15.75" customHeight="1">
      <c r="H398" s="17"/>
      <c r="K398" s="17"/>
      <c r="L398" s="2"/>
      <c r="M398" s="17"/>
      <c r="N398" s="17"/>
      <c r="O398" s="17"/>
    </row>
    <row r="399" spans="8:15" ht="15.75" customHeight="1">
      <c r="H399" s="17"/>
      <c r="K399" s="17"/>
      <c r="L399" s="2"/>
      <c r="M399" s="17"/>
      <c r="N399" s="17"/>
      <c r="O399" s="17"/>
    </row>
    <row r="400" spans="8:15" ht="15.75" customHeight="1">
      <c r="H400" s="17"/>
      <c r="K400" s="17"/>
      <c r="L400" s="2"/>
      <c r="M400" s="17"/>
      <c r="N400" s="17"/>
      <c r="O400" s="17"/>
    </row>
    <row r="401" spans="8:15" ht="15.75" customHeight="1">
      <c r="H401" s="17"/>
      <c r="K401" s="17"/>
      <c r="L401" s="2"/>
      <c r="M401" s="17"/>
      <c r="N401" s="17"/>
      <c r="O401" s="17"/>
    </row>
    <row r="402" spans="8:15" ht="15.75" customHeight="1">
      <c r="H402" s="17"/>
      <c r="K402" s="17"/>
      <c r="L402" s="2"/>
      <c r="M402" s="17"/>
      <c r="N402" s="17"/>
      <c r="O402" s="17"/>
    </row>
    <row r="403" spans="8:15" ht="15.75" customHeight="1">
      <c r="H403" s="17"/>
      <c r="K403" s="17"/>
      <c r="L403" s="2"/>
      <c r="M403" s="17"/>
      <c r="N403" s="17"/>
      <c r="O403" s="17"/>
    </row>
    <row r="404" spans="8:15" ht="15.75" customHeight="1">
      <c r="H404" s="17"/>
      <c r="K404" s="17"/>
      <c r="L404" s="2"/>
      <c r="M404" s="17"/>
      <c r="N404" s="17"/>
      <c r="O404" s="17"/>
    </row>
    <row r="405" spans="8:15" ht="15.75" customHeight="1">
      <c r="H405" s="17"/>
      <c r="K405" s="17"/>
      <c r="L405" s="2"/>
      <c r="M405" s="17"/>
      <c r="N405" s="17"/>
      <c r="O405" s="17"/>
    </row>
    <row r="406" spans="8:15" ht="15.75" customHeight="1">
      <c r="H406" s="17"/>
      <c r="K406" s="17"/>
      <c r="L406" s="2"/>
      <c r="M406" s="17"/>
      <c r="N406" s="17"/>
      <c r="O406" s="17"/>
    </row>
    <row r="407" spans="8:15" ht="15.75" customHeight="1">
      <c r="H407" s="17"/>
      <c r="K407" s="17"/>
      <c r="L407" s="2"/>
      <c r="M407" s="17"/>
      <c r="N407" s="17"/>
      <c r="O407" s="17"/>
    </row>
    <row r="408" spans="8:15" ht="15.75" customHeight="1">
      <c r="H408" s="17"/>
      <c r="K408" s="17"/>
      <c r="L408" s="2"/>
      <c r="M408" s="17"/>
      <c r="N408" s="17"/>
      <c r="O408" s="17"/>
    </row>
    <row r="409" spans="8:15" ht="15.75" customHeight="1">
      <c r="H409" s="17"/>
      <c r="K409" s="17"/>
      <c r="L409" s="2"/>
      <c r="M409" s="17"/>
      <c r="N409" s="17"/>
      <c r="O409" s="17"/>
    </row>
    <row r="410" spans="8:15" ht="15.75" customHeight="1">
      <c r="H410" s="17"/>
      <c r="K410" s="17"/>
      <c r="L410" s="2"/>
      <c r="M410" s="17"/>
      <c r="N410" s="17"/>
      <c r="O410" s="17"/>
    </row>
    <row r="411" spans="8:15" ht="15.75" customHeight="1">
      <c r="H411" s="17"/>
      <c r="K411" s="17"/>
      <c r="L411" s="2"/>
      <c r="M411" s="17"/>
      <c r="N411" s="17"/>
      <c r="O411" s="17"/>
    </row>
    <row r="412" spans="8:15" ht="15.75" customHeight="1">
      <c r="H412" s="17"/>
      <c r="K412" s="17"/>
      <c r="L412" s="2"/>
      <c r="M412" s="17"/>
      <c r="N412" s="17"/>
      <c r="O412" s="17"/>
    </row>
    <row r="413" spans="8:15" ht="15.75" customHeight="1">
      <c r="H413" s="17"/>
      <c r="K413" s="17"/>
      <c r="L413" s="2"/>
      <c r="M413" s="17"/>
      <c r="N413" s="17"/>
      <c r="O413" s="17"/>
    </row>
    <row r="414" spans="8:15" ht="15.75" customHeight="1">
      <c r="H414" s="17"/>
      <c r="K414" s="17"/>
      <c r="L414" s="2"/>
      <c r="M414" s="17"/>
      <c r="N414" s="17"/>
      <c r="O414" s="17"/>
    </row>
    <row r="415" spans="8:15" ht="15.75" customHeight="1">
      <c r="H415" s="17"/>
      <c r="K415" s="17"/>
      <c r="L415" s="2"/>
      <c r="M415" s="17"/>
      <c r="N415" s="17"/>
      <c r="O415" s="17"/>
    </row>
    <row r="416" spans="8:15" ht="15.75" customHeight="1">
      <c r="H416" s="17"/>
      <c r="K416" s="17"/>
      <c r="L416" s="2"/>
      <c r="M416" s="17"/>
      <c r="N416" s="17"/>
      <c r="O416" s="17"/>
    </row>
    <row r="417" spans="8:15" ht="15.75" customHeight="1">
      <c r="H417" s="17"/>
      <c r="K417" s="17"/>
      <c r="L417" s="2"/>
      <c r="M417" s="17"/>
      <c r="N417" s="17"/>
      <c r="O417" s="17"/>
    </row>
    <row r="418" spans="8:15" ht="15.75" customHeight="1">
      <c r="H418" s="17"/>
      <c r="K418" s="17"/>
      <c r="L418" s="2"/>
      <c r="M418" s="17"/>
      <c r="N418" s="17"/>
      <c r="O418" s="17"/>
    </row>
    <row r="419" spans="8:15" ht="15.75" customHeight="1">
      <c r="H419" s="17"/>
      <c r="K419" s="17"/>
      <c r="L419" s="2"/>
      <c r="M419" s="17"/>
      <c r="N419" s="17"/>
      <c r="O419" s="17"/>
    </row>
    <row r="420" spans="8:15" ht="15.75" customHeight="1">
      <c r="H420" s="17"/>
      <c r="K420" s="17"/>
      <c r="L420" s="2"/>
      <c r="M420" s="17"/>
      <c r="N420" s="17"/>
      <c r="O420" s="17"/>
    </row>
    <row r="421" spans="8:15" ht="15.75" customHeight="1">
      <c r="H421" s="17"/>
      <c r="K421" s="17"/>
      <c r="L421" s="2"/>
      <c r="M421" s="17"/>
      <c r="N421" s="17"/>
      <c r="O421" s="17"/>
    </row>
    <row r="422" spans="8:15" ht="15.75" customHeight="1">
      <c r="H422" s="17"/>
      <c r="K422" s="17"/>
      <c r="L422" s="2"/>
      <c r="M422" s="17"/>
      <c r="N422" s="17"/>
      <c r="O422" s="17"/>
    </row>
    <row r="423" spans="8:15" ht="15.75" customHeight="1">
      <c r="H423" s="17"/>
      <c r="K423" s="17"/>
      <c r="L423" s="2"/>
      <c r="M423" s="17"/>
      <c r="N423" s="17"/>
      <c r="O423" s="17"/>
    </row>
    <row r="424" spans="8:15" ht="15.75" customHeight="1">
      <c r="H424" s="17"/>
      <c r="K424" s="17"/>
      <c r="L424" s="2"/>
      <c r="M424" s="17"/>
      <c r="N424" s="17"/>
      <c r="O424" s="17"/>
    </row>
    <row r="425" spans="8:15" ht="15.75" customHeight="1">
      <c r="H425" s="17"/>
      <c r="K425" s="17"/>
      <c r="L425" s="2"/>
      <c r="M425" s="17"/>
      <c r="N425" s="17"/>
      <c r="O425" s="17"/>
    </row>
    <row r="426" spans="8:15" ht="15.75" customHeight="1">
      <c r="H426" s="17"/>
      <c r="K426" s="17"/>
      <c r="L426" s="2"/>
      <c r="M426" s="17"/>
      <c r="N426" s="17"/>
      <c r="O426" s="17"/>
    </row>
    <row r="427" spans="8:15" ht="15.75" customHeight="1">
      <c r="H427" s="17"/>
      <c r="K427" s="17"/>
      <c r="L427" s="2"/>
      <c r="M427" s="17"/>
      <c r="N427" s="17"/>
      <c r="O427" s="17"/>
    </row>
    <row r="428" spans="8:15" ht="15.75" customHeight="1">
      <c r="H428" s="17"/>
      <c r="K428" s="17"/>
      <c r="L428" s="2"/>
      <c r="M428" s="17"/>
      <c r="N428" s="17"/>
      <c r="O428" s="17"/>
    </row>
    <row r="429" spans="8:15" ht="15.75" customHeight="1">
      <c r="H429" s="17"/>
      <c r="K429" s="17"/>
      <c r="L429" s="2"/>
      <c r="M429" s="17"/>
      <c r="N429" s="17"/>
      <c r="O429" s="17"/>
    </row>
    <row r="430" spans="8:15" ht="15.75" customHeight="1">
      <c r="H430" s="17"/>
      <c r="K430" s="17"/>
      <c r="L430" s="2"/>
      <c r="M430" s="17"/>
      <c r="N430" s="17"/>
      <c r="O430" s="17"/>
    </row>
    <row r="431" spans="8:15" ht="15.75" customHeight="1">
      <c r="H431" s="17"/>
      <c r="K431" s="17"/>
      <c r="L431" s="2"/>
      <c r="M431" s="17"/>
      <c r="N431" s="17"/>
      <c r="O431" s="17"/>
    </row>
    <row r="432" spans="8:15" ht="15.75" customHeight="1">
      <c r="H432" s="17"/>
      <c r="K432" s="17"/>
      <c r="L432" s="2"/>
      <c r="M432" s="17"/>
      <c r="N432" s="17"/>
      <c r="O432" s="17"/>
    </row>
    <row r="433" spans="8:15" ht="15.75" customHeight="1">
      <c r="H433" s="17"/>
      <c r="K433" s="17"/>
      <c r="L433" s="2"/>
      <c r="M433" s="17"/>
      <c r="N433" s="17"/>
      <c r="O433" s="17"/>
    </row>
    <row r="434" spans="8:15" ht="15.75" customHeight="1">
      <c r="H434" s="17"/>
      <c r="K434" s="17"/>
      <c r="L434" s="2"/>
      <c r="M434" s="17"/>
      <c r="N434" s="17"/>
      <c r="O434" s="17"/>
    </row>
    <row r="435" spans="8:15" ht="15.75" customHeight="1">
      <c r="H435" s="17"/>
      <c r="K435" s="17"/>
      <c r="L435" s="2"/>
      <c r="M435" s="17"/>
      <c r="N435" s="17"/>
      <c r="O435" s="17"/>
    </row>
    <row r="436" spans="8:15" ht="15.75" customHeight="1">
      <c r="H436" s="17"/>
      <c r="K436" s="17"/>
      <c r="L436" s="2"/>
      <c r="M436" s="17"/>
      <c r="N436" s="17"/>
      <c r="O436" s="17"/>
    </row>
    <row r="437" spans="8:15" ht="15.75" customHeight="1">
      <c r="H437" s="17"/>
      <c r="K437" s="17"/>
      <c r="L437" s="2"/>
      <c r="M437" s="17"/>
      <c r="N437" s="17"/>
      <c r="O437" s="17"/>
    </row>
    <row r="438" spans="8:15" ht="15.75" customHeight="1">
      <c r="H438" s="17"/>
      <c r="K438" s="17"/>
      <c r="L438" s="2"/>
      <c r="M438" s="17"/>
      <c r="N438" s="17"/>
      <c r="O438" s="17"/>
    </row>
    <row r="439" spans="8:15" ht="15.75" customHeight="1">
      <c r="H439" s="17"/>
      <c r="K439" s="17"/>
      <c r="L439" s="2"/>
      <c r="M439" s="17"/>
      <c r="N439" s="17"/>
      <c r="O439" s="17"/>
    </row>
    <row r="440" spans="8:15" ht="15.75" customHeight="1">
      <c r="H440" s="17"/>
      <c r="K440" s="17"/>
      <c r="L440" s="2"/>
      <c r="M440" s="17"/>
      <c r="N440" s="17"/>
      <c r="O440" s="17"/>
    </row>
    <row r="441" spans="8:15" ht="15.75" customHeight="1">
      <c r="H441" s="17"/>
      <c r="K441" s="17"/>
      <c r="L441" s="2"/>
      <c r="M441" s="17"/>
      <c r="N441" s="17"/>
      <c r="O441" s="17"/>
    </row>
    <row r="442" spans="8:15" ht="15.75" customHeight="1">
      <c r="H442" s="17"/>
      <c r="K442" s="17"/>
      <c r="L442" s="2"/>
      <c r="M442" s="17"/>
      <c r="N442" s="17"/>
      <c r="O442" s="17"/>
    </row>
    <row r="443" spans="8:15" ht="15.75" customHeight="1">
      <c r="H443" s="17"/>
      <c r="K443" s="17"/>
      <c r="L443" s="2"/>
      <c r="M443" s="17"/>
      <c r="N443" s="17"/>
      <c r="O443" s="17"/>
    </row>
    <row r="444" spans="8:15" ht="15.75" customHeight="1">
      <c r="H444" s="17"/>
      <c r="K444" s="17"/>
      <c r="L444" s="2"/>
      <c r="M444" s="17"/>
      <c r="N444" s="17"/>
      <c r="O444" s="17"/>
    </row>
    <row r="445" spans="8:15" ht="15.75" customHeight="1">
      <c r="H445" s="17"/>
      <c r="K445" s="17"/>
      <c r="L445" s="2"/>
      <c r="M445" s="17"/>
      <c r="N445" s="17"/>
      <c r="O445" s="17"/>
    </row>
    <row r="446" spans="8:15" ht="15.75" customHeight="1">
      <c r="H446" s="17"/>
      <c r="K446" s="17"/>
      <c r="L446" s="2"/>
      <c r="M446" s="17"/>
      <c r="N446" s="17"/>
      <c r="O446" s="17"/>
    </row>
    <row r="447" spans="8:15" ht="15.75" customHeight="1">
      <c r="H447" s="17"/>
      <c r="K447" s="17"/>
      <c r="L447" s="2"/>
      <c r="M447" s="17"/>
      <c r="N447" s="17"/>
      <c r="O447" s="17"/>
    </row>
    <row r="448" spans="8:15" ht="15.75" customHeight="1">
      <c r="H448" s="17"/>
      <c r="K448" s="17"/>
      <c r="L448" s="2"/>
      <c r="M448" s="17"/>
      <c r="N448" s="17"/>
      <c r="O448" s="17"/>
    </row>
    <row r="449" spans="8:15" ht="15.75" customHeight="1">
      <c r="H449" s="17"/>
      <c r="K449" s="17"/>
      <c r="L449" s="2"/>
      <c r="M449" s="17"/>
      <c r="N449" s="17"/>
      <c r="O449" s="17"/>
    </row>
    <row r="450" spans="8:15" ht="15.75" customHeight="1">
      <c r="H450" s="17"/>
      <c r="K450" s="17"/>
      <c r="L450" s="2"/>
      <c r="M450" s="17"/>
      <c r="N450" s="17"/>
      <c r="O450" s="17"/>
    </row>
    <row r="451" spans="8:15" ht="15.75" customHeight="1">
      <c r="H451" s="17"/>
      <c r="K451" s="17"/>
      <c r="L451" s="2"/>
      <c r="M451" s="17"/>
      <c r="N451" s="17"/>
      <c r="O451" s="17"/>
    </row>
    <row r="452" spans="8:15" ht="15.75" customHeight="1">
      <c r="H452" s="17"/>
      <c r="K452" s="17"/>
      <c r="L452" s="2"/>
      <c r="M452" s="17"/>
      <c r="N452" s="17"/>
      <c r="O452" s="17"/>
    </row>
    <row r="453" spans="8:15" ht="15.75" customHeight="1">
      <c r="H453" s="17"/>
      <c r="K453" s="17"/>
      <c r="L453" s="2"/>
      <c r="M453" s="17"/>
      <c r="N453" s="17"/>
      <c r="O453" s="17"/>
    </row>
    <row r="454" spans="8:15" ht="15.75" customHeight="1">
      <c r="H454" s="17"/>
      <c r="K454" s="17"/>
      <c r="L454" s="2"/>
      <c r="M454" s="17"/>
      <c r="N454" s="17"/>
      <c r="O454" s="17"/>
    </row>
    <row r="455" spans="8:15" ht="15.75" customHeight="1">
      <c r="H455" s="17"/>
      <c r="K455" s="17"/>
      <c r="L455" s="2"/>
      <c r="M455" s="17"/>
      <c r="N455" s="17"/>
      <c r="O455" s="17"/>
    </row>
    <row r="456" spans="8:15" ht="15.75" customHeight="1">
      <c r="H456" s="17"/>
      <c r="K456" s="17"/>
      <c r="L456" s="2"/>
      <c r="M456" s="17"/>
      <c r="N456" s="17"/>
      <c r="O456" s="17"/>
    </row>
    <row r="457" spans="8:15" ht="15.75" customHeight="1">
      <c r="H457" s="17"/>
      <c r="K457" s="17"/>
      <c r="L457" s="2"/>
      <c r="M457" s="17"/>
      <c r="N457" s="17"/>
      <c r="O457" s="17"/>
    </row>
    <row r="458" spans="8:15" ht="15.75" customHeight="1">
      <c r="H458" s="17"/>
      <c r="K458" s="17"/>
      <c r="L458" s="2"/>
      <c r="M458" s="17"/>
      <c r="N458" s="17"/>
      <c r="O458" s="17"/>
    </row>
    <row r="459" spans="8:15" ht="15.75" customHeight="1">
      <c r="H459" s="17"/>
      <c r="K459" s="17"/>
      <c r="L459" s="2"/>
      <c r="M459" s="17"/>
      <c r="N459" s="17"/>
      <c r="O459" s="17"/>
    </row>
    <row r="460" spans="8:15" ht="15.75" customHeight="1">
      <c r="H460" s="17"/>
      <c r="K460" s="17"/>
      <c r="L460" s="2"/>
      <c r="M460" s="17"/>
      <c r="N460" s="17"/>
      <c r="O460" s="17"/>
    </row>
    <row r="461" spans="8:15" ht="15.75" customHeight="1">
      <c r="H461" s="17"/>
      <c r="K461" s="17"/>
      <c r="L461" s="2"/>
      <c r="M461" s="17"/>
      <c r="N461" s="17"/>
      <c r="O461" s="17"/>
    </row>
    <row r="462" spans="8:15" ht="15.75" customHeight="1">
      <c r="H462" s="17"/>
      <c r="K462" s="17"/>
      <c r="L462" s="2"/>
      <c r="M462" s="17"/>
      <c r="N462" s="17"/>
      <c r="O462" s="17"/>
    </row>
    <row r="463" spans="8:15" ht="15.75" customHeight="1">
      <c r="H463" s="17"/>
      <c r="K463" s="17"/>
      <c r="L463" s="2"/>
      <c r="M463" s="17"/>
      <c r="N463" s="17"/>
      <c r="O463" s="17"/>
    </row>
    <row r="464" spans="8:15" ht="15.75" customHeight="1">
      <c r="H464" s="17"/>
      <c r="K464" s="17"/>
      <c r="L464" s="2"/>
      <c r="M464" s="17"/>
      <c r="N464" s="17"/>
      <c r="O464" s="17"/>
    </row>
    <row r="465" spans="8:15" ht="15.75" customHeight="1">
      <c r="H465" s="17"/>
      <c r="K465" s="17"/>
      <c r="L465" s="2"/>
      <c r="M465" s="17"/>
      <c r="N465" s="17"/>
      <c r="O465" s="17"/>
    </row>
    <row r="466" spans="8:15" ht="15.75" customHeight="1">
      <c r="H466" s="17"/>
      <c r="K466" s="17"/>
      <c r="L466" s="2"/>
      <c r="M466" s="17"/>
      <c r="N466" s="17"/>
      <c r="O466" s="17"/>
    </row>
    <row r="467" spans="8:15" ht="15.75" customHeight="1">
      <c r="H467" s="17"/>
      <c r="K467" s="17"/>
      <c r="L467" s="2"/>
      <c r="M467" s="17"/>
      <c r="N467" s="17"/>
      <c r="O467" s="17"/>
    </row>
    <row r="468" spans="8:15" ht="15.75" customHeight="1">
      <c r="H468" s="17"/>
      <c r="K468" s="17"/>
      <c r="L468" s="2"/>
      <c r="M468" s="17"/>
      <c r="N468" s="17"/>
      <c r="O468" s="17"/>
    </row>
    <row r="469" spans="8:15" ht="15.75" customHeight="1">
      <c r="H469" s="17"/>
      <c r="K469" s="17"/>
      <c r="L469" s="2"/>
      <c r="M469" s="17"/>
      <c r="N469" s="17"/>
      <c r="O469" s="17"/>
    </row>
    <row r="470" spans="8:15" ht="15.75" customHeight="1">
      <c r="H470" s="17"/>
      <c r="K470" s="17"/>
      <c r="L470" s="2"/>
      <c r="M470" s="17"/>
      <c r="N470" s="17"/>
      <c r="O470" s="17"/>
    </row>
    <row r="471" spans="8:15" ht="15.75" customHeight="1">
      <c r="H471" s="17"/>
      <c r="K471" s="17"/>
      <c r="L471" s="2"/>
      <c r="M471" s="17"/>
      <c r="N471" s="17"/>
      <c r="O471" s="17"/>
    </row>
    <row r="472" spans="8:15" ht="15.75" customHeight="1">
      <c r="H472" s="17"/>
      <c r="K472" s="17"/>
      <c r="L472" s="2"/>
      <c r="M472" s="17"/>
      <c r="N472" s="17"/>
      <c r="O472" s="17"/>
    </row>
    <row r="473" spans="8:15" ht="15.75" customHeight="1">
      <c r="H473" s="17"/>
      <c r="K473" s="17"/>
      <c r="L473" s="2"/>
      <c r="M473" s="17"/>
      <c r="N473" s="17"/>
      <c r="O473" s="17"/>
    </row>
    <row r="474" spans="8:15" ht="15.75" customHeight="1">
      <c r="H474" s="17"/>
      <c r="K474" s="17"/>
      <c r="L474" s="2"/>
      <c r="M474" s="17"/>
      <c r="N474" s="17"/>
      <c r="O474" s="17"/>
    </row>
    <row r="475" spans="8:15" ht="15.75" customHeight="1">
      <c r="H475" s="17"/>
      <c r="K475" s="17"/>
      <c r="L475" s="2"/>
      <c r="M475" s="17"/>
      <c r="N475" s="17"/>
      <c r="O475" s="17"/>
    </row>
    <row r="476" spans="8:15" ht="15.75" customHeight="1">
      <c r="H476" s="17"/>
      <c r="K476" s="17"/>
      <c r="L476" s="2"/>
      <c r="M476" s="17"/>
      <c r="N476" s="17"/>
      <c r="O476" s="17"/>
    </row>
    <row r="477" spans="8:15" ht="15.75" customHeight="1">
      <c r="H477" s="17"/>
      <c r="K477" s="17"/>
      <c r="L477" s="2"/>
      <c r="M477" s="17"/>
      <c r="N477" s="17"/>
      <c r="O477" s="17"/>
    </row>
    <row r="478" spans="8:15" ht="15.75" customHeight="1">
      <c r="H478" s="17"/>
      <c r="K478" s="17"/>
      <c r="L478" s="2"/>
      <c r="M478" s="17"/>
      <c r="N478" s="17"/>
      <c r="O478" s="17"/>
    </row>
    <row r="479" spans="8:15" ht="15.75" customHeight="1">
      <c r="H479" s="17"/>
      <c r="K479" s="17"/>
      <c r="L479" s="2"/>
      <c r="M479" s="17"/>
      <c r="N479" s="17"/>
      <c r="O479" s="17"/>
    </row>
    <row r="480" spans="8:15" ht="15.75" customHeight="1">
      <c r="H480" s="17"/>
      <c r="K480" s="17"/>
      <c r="L480" s="2"/>
      <c r="M480" s="17"/>
      <c r="N480" s="17"/>
      <c r="O480" s="17"/>
    </row>
    <row r="481" spans="8:15" ht="15.75" customHeight="1">
      <c r="H481" s="17"/>
      <c r="K481" s="17"/>
      <c r="L481" s="2"/>
      <c r="M481" s="17"/>
      <c r="N481" s="17"/>
      <c r="O481" s="17"/>
    </row>
    <row r="482" spans="8:15" ht="15.75" customHeight="1">
      <c r="H482" s="17"/>
      <c r="K482" s="17"/>
      <c r="L482" s="2"/>
      <c r="M482" s="17"/>
      <c r="N482" s="17"/>
      <c r="O482" s="17"/>
    </row>
    <row r="483" spans="8:15" ht="15.75" customHeight="1">
      <c r="H483" s="17"/>
      <c r="K483" s="17"/>
      <c r="L483" s="2"/>
      <c r="M483" s="17"/>
      <c r="N483" s="17"/>
      <c r="O483" s="17"/>
    </row>
    <row r="484" spans="8:15" ht="15.75" customHeight="1">
      <c r="H484" s="17"/>
      <c r="K484" s="17"/>
      <c r="L484" s="2"/>
      <c r="M484" s="17"/>
      <c r="N484" s="17"/>
      <c r="O484" s="17"/>
    </row>
    <row r="485" spans="8:15" ht="15.75" customHeight="1">
      <c r="H485" s="17"/>
      <c r="K485" s="17"/>
      <c r="L485" s="2"/>
      <c r="M485" s="17"/>
      <c r="N485" s="17"/>
      <c r="O485" s="17"/>
    </row>
    <row r="486" spans="8:15" ht="15.75" customHeight="1">
      <c r="H486" s="17"/>
      <c r="K486" s="17"/>
      <c r="L486" s="2"/>
      <c r="M486" s="17"/>
      <c r="N486" s="17"/>
      <c r="O486" s="17"/>
    </row>
    <row r="487" spans="8:15" ht="15.75" customHeight="1">
      <c r="H487" s="17"/>
      <c r="K487" s="17"/>
      <c r="L487" s="2"/>
      <c r="M487" s="17"/>
      <c r="N487" s="17"/>
      <c r="O487" s="17"/>
    </row>
    <row r="488" spans="8:15" ht="15.75" customHeight="1">
      <c r="H488" s="17"/>
      <c r="K488" s="17"/>
      <c r="L488" s="2"/>
      <c r="M488" s="17"/>
      <c r="N488" s="17"/>
      <c r="O488" s="17"/>
    </row>
    <row r="489" spans="8:15" ht="15.75" customHeight="1">
      <c r="H489" s="17"/>
      <c r="K489" s="17"/>
      <c r="L489" s="2"/>
      <c r="M489" s="17"/>
      <c r="N489" s="17"/>
      <c r="O489" s="17"/>
    </row>
    <row r="490" spans="8:15" ht="15.75" customHeight="1">
      <c r="H490" s="17"/>
      <c r="K490" s="17"/>
      <c r="L490" s="2"/>
      <c r="M490" s="17"/>
      <c r="N490" s="17"/>
      <c r="O490" s="17"/>
    </row>
    <row r="491" spans="8:15" ht="15.75" customHeight="1">
      <c r="H491" s="17"/>
      <c r="K491" s="17"/>
      <c r="L491" s="2"/>
      <c r="M491" s="17"/>
      <c r="N491" s="17"/>
      <c r="O491" s="17"/>
    </row>
    <row r="492" spans="8:15" ht="15.75" customHeight="1">
      <c r="H492" s="17"/>
      <c r="K492" s="17"/>
      <c r="L492" s="2"/>
      <c r="M492" s="17"/>
      <c r="N492" s="17"/>
      <c r="O492" s="17"/>
    </row>
    <row r="493" spans="8:15" ht="15.75" customHeight="1">
      <c r="H493" s="17"/>
      <c r="K493" s="17"/>
      <c r="L493" s="2"/>
      <c r="M493" s="17"/>
      <c r="N493" s="17"/>
      <c r="O493" s="17"/>
    </row>
    <row r="494" spans="8:15" ht="15.75" customHeight="1">
      <c r="H494" s="17"/>
      <c r="K494" s="17"/>
      <c r="L494" s="2"/>
      <c r="M494" s="17"/>
      <c r="N494" s="17"/>
      <c r="O494" s="17"/>
    </row>
    <row r="495" spans="8:15" ht="15.75" customHeight="1">
      <c r="H495" s="17"/>
      <c r="K495" s="17"/>
      <c r="L495" s="2"/>
      <c r="M495" s="17"/>
      <c r="N495" s="17"/>
      <c r="O495" s="17"/>
    </row>
    <row r="496" spans="8:15" ht="15.75" customHeight="1">
      <c r="H496" s="17"/>
      <c r="K496" s="17"/>
      <c r="L496" s="2"/>
      <c r="M496" s="17"/>
      <c r="N496" s="17"/>
      <c r="O496" s="17"/>
    </row>
    <row r="497" spans="8:15" ht="15.75" customHeight="1">
      <c r="H497" s="17"/>
      <c r="K497" s="17"/>
      <c r="L497" s="2"/>
      <c r="M497" s="17"/>
      <c r="N497" s="17"/>
      <c r="O497" s="17"/>
    </row>
    <row r="498" spans="8:15" ht="15.75" customHeight="1">
      <c r="H498" s="17"/>
      <c r="K498" s="17"/>
      <c r="L498" s="2"/>
      <c r="M498" s="17"/>
      <c r="N498" s="17"/>
      <c r="O498" s="17"/>
    </row>
    <row r="499" spans="8:15" ht="15.75" customHeight="1">
      <c r="H499" s="17"/>
      <c r="K499" s="17"/>
      <c r="L499" s="2"/>
      <c r="M499" s="17"/>
      <c r="N499" s="17"/>
      <c r="O499" s="17"/>
    </row>
    <row r="500" spans="8:15" ht="15.75" customHeight="1">
      <c r="H500" s="17"/>
      <c r="K500" s="17"/>
      <c r="L500" s="2"/>
      <c r="M500" s="17"/>
      <c r="N500" s="17"/>
      <c r="O500" s="17"/>
    </row>
    <row r="501" spans="8:15" ht="15.75" customHeight="1">
      <c r="H501" s="17"/>
      <c r="K501" s="17"/>
      <c r="L501" s="2"/>
      <c r="M501" s="17"/>
      <c r="N501" s="17"/>
      <c r="O501" s="17"/>
    </row>
    <row r="502" spans="8:15" ht="15.75" customHeight="1">
      <c r="H502" s="17"/>
      <c r="K502" s="17"/>
      <c r="L502" s="2"/>
      <c r="M502" s="17"/>
      <c r="N502" s="17"/>
      <c r="O502" s="17"/>
    </row>
    <row r="503" spans="8:15" ht="15.75" customHeight="1">
      <c r="H503" s="17"/>
      <c r="K503" s="17"/>
      <c r="L503" s="2"/>
      <c r="M503" s="17"/>
      <c r="N503" s="17"/>
      <c r="O503" s="17"/>
    </row>
    <row r="504" spans="8:15" ht="15.75" customHeight="1">
      <c r="H504" s="17"/>
      <c r="K504" s="17"/>
      <c r="L504" s="2"/>
      <c r="M504" s="17"/>
      <c r="N504" s="17"/>
      <c r="O504" s="17"/>
    </row>
    <row r="505" spans="8:15" ht="15.75" customHeight="1">
      <c r="H505" s="17"/>
      <c r="K505" s="17"/>
      <c r="L505" s="2"/>
      <c r="M505" s="17"/>
      <c r="N505" s="17"/>
      <c r="O505" s="17"/>
    </row>
    <row r="506" spans="8:15" ht="15.75" customHeight="1">
      <c r="H506" s="17"/>
      <c r="K506" s="17"/>
      <c r="L506" s="2"/>
      <c r="M506" s="17"/>
      <c r="N506" s="17"/>
      <c r="O506" s="17"/>
    </row>
    <row r="507" spans="8:15" ht="15.75" customHeight="1">
      <c r="H507" s="17"/>
      <c r="K507" s="17"/>
      <c r="L507" s="2"/>
      <c r="M507" s="17"/>
      <c r="N507" s="17"/>
      <c r="O507" s="17"/>
    </row>
    <row r="508" spans="8:15" ht="15.75" customHeight="1">
      <c r="H508" s="17"/>
      <c r="K508" s="17"/>
      <c r="L508" s="2"/>
      <c r="M508" s="17"/>
      <c r="N508" s="17"/>
      <c r="O508" s="17"/>
    </row>
    <row r="509" spans="8:15" ht="15.75" customHeight="1">
      <c r="H509" s="17"/>
      <c r="K509" s="17"/>
      <c r="L509" s="2"/>
      <c r="M509" s="17"/>
      <c r="N509" s="17"/>
      <c r="O509" s="17"/>
    </row>
    <row r="510" spans="8:15" ht="15.75" customHeight="1">
      <c r="H510" s="17"/>
      <c r="K510" s="17"/>
      <c r="L510" s="2"/>
      <c r="M510" s="17"/>
      <c r="N510" s="17"/>
      <c r="O510" s="17"/>
    </row>
    <row r="511" spans="8:15" ht="15.75" customHeight="1">
      <c r="H511" s="17"/>
      <c r="K511" s="17"/>
      <c r="L511" s="2"/>
      <c r="M511" s="17"/>
      <c r="N511" s="17"/>
      <c r="O511" s="17"/>
    </row>
    <row r="512" spans="8:15" ht="15.75" customHeight="1">
      <c r="H512" s="17"/>
      <c r="K512" s="17"/>
      <c r="L512" s="2"/>
      <c r="M512" s="17"/>
      <c r="N512" s="17"/>
      <c r="O512" s="17"/>
    </row>
    <row r="513" spans="8:15" ht="15.75" customHeight="1">
      <c r="H513" s="17"/>
      <c r="K513" s="17"/>
      <c r="L513" s="2"/>
      <c r="M513" s="17"/>
      <c r="N513" s="17"/>
      <c r="O513" s="17"/>
    </row>
    <row r="514" spans="8:15" ht="15.75" customHeight="1">
      <c r="H514" s="17"/>
      <c r="K514" s="17"/>
      <c r="L514" s="2"/>
      <c r="M514" s="17"/>
      <c r="N514" s="17"/>
      <c r="O514" s="17"/>
    </row>
    <row r="515" spans="8:15" ht="15.75" customHeight="1">
      <c r="H515" s="17"/>
      <c r="K515" s="17"/>
      <c r="L515" s="2"/>
      <c r="M515" s="17"/>
      <c r="N515" s="17"/>
      <c r="O515" s="17"/>
    </row>
    <row r="516" spans="8:15" ht="15.75" customHeight="1">
      <c r="H516" s="17"/>
      <c r="K516" s="17"/>
      <c r="L516" s="2"/>
      <c r="M516" s="17"/>
      <c r="N516" s="17"/>
      <c r="O516" s="17"/>
    </row>
    <row r="517" spans="8:15" ht="15.75" customHeight="1">
      <c r="H517" s="17"/>
      <c r="K517" s="17"/>
      <c r="L517" s="2"/>
      <c r="M517" s="17"/>
      <c r="N517" s="17"/>
      <c r="O517" s="17"/>
    </row>
    <row r="518" spans="8:15" ht="15.75" customHeight="1">
      <c r="H518" s="17"/>
      <c r="K518" s="17"/>
      <c r="L518" s="2"/>
      <c r="M518" s="17"/>
      <c r="N518" s="17"/>
      <c r="O518" s="17"/>
    </row>
    <row r="519" spans="8:15" ht="15.75" customHeight="1">
      <c r="H519" s="17"/>
      <c r="K519" s="17"/>
      <c r="L519" s="2"/>
      <c r="M519" s="17"/>
      <c r="N519" s="17"/>
      <c r="O519" s="17"/>
    </row>
    <row r="520" spans="8:15" ht="15.75" customHeight="1">
      <c r="H520" s="17"/>
      <c r="K520" s="17"/>
      <c r="L520" s="2"/>
      <c r="M520" s="17"/>
      <c r="N520" s="17"/>
      <c r="O520" s="17"/>
    </row>
    <row r="521" spans="8:15" ht="15.75" customHeight="1">
      <c r="H521" s="17"/>
      <c r="K521" s="17"/>
      <c r="L521" s="2"/>
      <c r="M521" s="17"/>
      <c r="N521" s="17"/>
      <c r="O521" s="17"/>
    </row>
    <row r="522" spans="8:15" ht="15.75" customHeight="1">
      <c r="H522" s="17"/>
      <c r="K522" s="17"/>
      <c r="L522" s="2"/>
      <c r="M522" s="17"/>
      <c r="N522" s="17"/>
      <c r="O522" s="17"/>
    </row>
    <row r="523" spans="8:15" ht="15.75" customHeight="1">
      <c r="H523" s="17"/>
      <c r="K523" s="17"/>
      <c r="L523" s="2"/>
      <c r="M523" s="17"/>
      <c r="N523" s="17"/>
      <c r="O523" s="17"/>
    </row>
    <row r="524" spans="8:15" ht="15.75" customHeight="1">
      <c r="H524" s="17"/>
      <c r="K524" s="17"/>
      <c r="L524" s="2"/>
      <c r="M524" s="17"/>
      <c r="N524" s="17"/>
      <c r="O524" s="17"/>
    </row>
    <row r="525" spans="8:15" ht="15.75" customHeight="1">
      <c r="H525" s="17"/>
      <c r="K525" s="17"/>
      <c r="L525" s="2"/>
      <c r="M525" s="17"/>
      <c r="N525" s="17"/>
      <c r="O525" s="17"/>
    </row>
    <row r="526" spans="8:15" ht="15.75" customHeight="1">
      <c r="H526" s="17"/>
      <c r="K526" s="17"/>
      <c r="L526" s="2"/>
      <c r="M526" s="17"/>
      <c r="N526" s="17"/>
      <c r="O526" s="17"/>
    </row>
    <row r="527" spans="8:15" ht="15.75" customHeight="1">
      <c r="H527" s="17"/>
      <c r="K527" s="17"/>
      <c r="L527" s="2"/>
      <c r="M527" s="17"/>
      <c r="N527" s="17"/>
      <c r="O527" s="17"/>
    </row>
    <row r="528" spans="8:15" ht="15.75" customHeight="1">
      <c r="H528" s="17"/>
      <c r="K528" s="17"/>
      <c r="L528" s="2"/>
      <c r="M528" s="17"/>
      <c r="N528" s="17"/>
      <c r="O528" s="17"/>
    </row>
    <row r="529" spans="8:15" ht="15.75" customHeight="1">
      <c r="H529" s="17"/>
      <c r="K529" s="17"/>
      <c r="L529" s="2"/>
      <c r="M529" s="17"/>
      <c r="N529" s="17"/>
      <c r="O529" s="17"/>
    </row>
    <row r="530" spans="8:15" ht="15.75" customHeight="1">
      <c r="H530" s="17"/>
      <c r="K530" s="17"/>
      <c r="L530" s="2"/>
      <c r="M530" s="17"/>
      <c r="N530" s="17"/>
      <c r="O530" s="17"/>
    </row>
    <row r="531" spans="8:15" ht="15.75" customHeight="1">
      <c r="H531" s="17"/>
      <c r="K531" s="17"/>
      <c r="L531" s="2"/>
      <c r="M531" s="17"/>
      <c r="N531" s="17"/>
      <c r="O531" s="17"/>
    </row>
    <row r="532" spans="8:15" ht="15.75" customHeight="1">
      <c r="H532" s="17"/>
      <c r="K532" s="17"/>
      <c r="L532" s="2"/>
      <c r="M532" s="17"/>
      <c r="N532" s="17"/>
      <c r="O532" s="17"/>
    </row>
    <row r="533" spans="8:15" ht="15.75" customHeight="1">
      <c r="H533" s="17"/>
      <c r="K533" s="17"/>
      <c r="L533" s="2"/>
      <c r="M533" s="17"/>
      <c r="N533" s="17"/>
      <c r="O533" s="17"/>
    </row>
    <row r="534" spans="8:15" ht="15.75" customHeight="1">
      <c r="H534" s="17"/>
      <c r="K534" s="17"/>
      <c r="L534" s="2"/>
      <c r="M534" s="17"/>
      <c r="N534" s="17"/>
      <c r="O534" s="17"/>
    </row>
    <row r="535" spans="8:15" ht="15.75" customHeight="1">
      <c r="H535" s="17"/>
      <c r="K535" s="17"/>
      <c r="L535" s="2"/>
      <c r="M535" s="17"/>
      <c r="N535" s="17"/>
      <c r="O535" s="17"/>
    </row>
    <row r="536" spans="8:15" ht="15.75" customHeight="1">
      <c r="H536" s="17"/>
      <c r="K536" s="17"/>
      <c r="L536" s="2"/>
      <c r="M536" s="17"/>
      <c r="N536" s="17"/>
      <c r="O536" s="17"/>
    </row>
    <row r="537" spans="8:15" ht="15.75" customHeight="1">
      <c r="H537" s="17"/>
      <c r="K537" s="17"/>
      <c r="L537" s="2"/>
      <c r="M537" s="17"/>
      <c r="N537" s="17"/>
      <c r="O537" s="17"/>
    </row>
    <row r="538" spans="8:15" ht="15.75" customHeight="1">
      <c r="H538" s="17"/>
      <c r="K538" s="17"/>
      <c r="L538" s="2"/>
      <c r="M538" s="17"/>
      <c r="N538" s="17"/>
      <c r="O538" s="17"/>
    </row>
    <row r="539" spans="8:15" ht="15.75" customHeight="1">
      <c r="H539" s="17"/>
      <c r="K539" s="17"/>
      <c r="L539" s="2"/>
      <c r="M539" s="17"/>
      <c r="N539" s="17"/>
      <c r="O539" s="17"/>
    </row>
    <row r="540" spans="8:15" ht="15.75" customHeight="1">
      <c r="H540" s="17"/>
      <c r="K540" s="17"/>
      <c r="L540" s="2"/>
      <c r="M540" s="17"/>
      <c r="N540" s="17"/>
      <c r="O540" s="17"/>
    </row>
    <row r="541" spans="8:15" ht="15.75" customHeight="1">
      <c r="H541" s="17"/>
      <c r="K541" s="17"/>
      <c r="L541" s="2"/>
      <c r="M541" s="17"/>
      <c r="N541" s="17"/>
      <c r="O541" s="17"/>
    </row>
    <row r="542" spans="8:15" ht="15.75" customHeight="1">
      <c r="H542" s="17"/>
      <c r="K542" s="17"/>
      <c r="L542" s="2"/>
      <c r="M542" s="17"/>
      <c r="N542" s="17"/>
      <c r="O542" s="17"/>
    </row>
    <row r="543" spans="8:15" ht="15.75" customHeight="1">
      <c r="H543" s="17"/>
      <c r="K543" s="17"/>
      <c r="L543" s="2"/>
      <c r="M543" s="17"/>
      <c r="N543" s="17"/>
      <c r="O543" s="17"/>
    </row>
    <row r="544" spans="8:15" ht="15.75" customHeight="1">
      <c r="H544" s="17"/>
      <c r="K544" s="17"/>
      <c r="L544" s="2"/>
      <c r="M544" s="17"/>
      <c r="N544" s="17"/>
      <c r="O544" s="17"/>
    </row>
    <row r="545" spans="8:15" ht="15.75" customHeight="1">
      <c r="H545" s="17"/>
      <c r="K545" s="17"/>
      <c r="L545" s="2"/>
      <c r="M545" s="17"/>
      <c r="N545" s="17"/>
      <c r="O545" s="17"/>
    </row>
    <row r="546" spans="8:15" ht="15.75" customHeight="1">
      <c r="H546" s="17"/>
      <c r="K546" s="17"/>
      <c r="L546" s="2"/>
      <c r="M546" s="17"/>
      <c r="N546" s="17"/>
      <c r="O546" s="17"/>
    </row>
    <row r="547" spans="8:15" ht="15.75" customHeight="1">
      <c r="H547" s="17"/>
      <c r="K547" s="17"/>
      <c r="L547" s="2"/>
      <c r="M547" s="17"/>
      <c r="N547" s="17"/>
      <c r="O547" s="17"/>
    </row>
    <row r="548" spans="8:15" ht="15.75" customHeight="1">
      <c r="H548" s="17"/>
      <c r="K548" s="17"/>
      <c r="L548" s="2"/>
      <c r="M548" s="17"/>
      <c r="N548" s="17"/>
      <c r="O548" s="17"/>
    </row>
    <row r="549" spans="8:15" ht="15.75" customHeight="1">
      <c r="H549" s="17"/>
      <c r="K549" s="17"/>
      <c r="L549" s="2"/>
      <c r="M549" s="17"/>
      <c r="N549" s="17"/>
      <c r="O549" s="17"/>
    </row>
    <row r="550" spans="8:15" ht="15.75" customHeight="1">
      <c r="H550" s="17"/>
      <c r="K550" s="17"/>
      <c r="L550" s="2"/>
      <c r="M550" s="17"/>
      <c r="N550" s="17"/>
      <c r="O550" s="17"/>
    </row>
    <row r="551" spans="8:15" ht="15.75" customHeight="1">
      <c r="H551" s="17"/>
      <c r="K551" s="17"/>
      <c r="L551" s="2"/>
      <c r="M551" s="17"/>
      <c r="N551" s="17"/>
      <c r="O551" s="17"/>
    </row>
    <row r="552" spans="8:15" ht="15.75" customHeight="1">
      <c r="H552" s="17"/>
      <c r="K552" s="17"/>
      <c r="L552" s="2"/>
      <c r="M552" s="17"/>
      <c r="N552" s="17"/>
      <c r="O552" s="17"/>
    </row>
    <row r="553" spans="8:15" ht="15.75" customHeight="1">
      <c r="H553" s="17"/>
      <c r="K553" s="17"/>
      <c r="L553" s="2"/>
      <c r="M553" s="17"/>
      <c r="N553" s="17"/>
      <c r="O553" s="17"/>
    </row>
    <row r="554" spans="8:15" ht="15.75" customHeight="1">
      <c r="H554" s="17"/>
      <c r="K554" s="17"/>
      <c r="L554" s="2"/>
      <c r="M554" s="17"/>
      <c r="N554" s="17"/>
      <c r="O554" s="17"/>
    </row>
    <row r="555" spans="8:15" ht="15.75" customHeight="1">
      <c r="H555" s="17"/>
      <c r="K555" s="17"/>
      <c r="L555" s="2"/>
      <c r="M555" s="17"/>
      <c r="N555" s="17"/>
      <c r="O555" s="17"/>
    </row>
    <row r="556" spans="8:15" ht="15.75" customHeight="1">
      <c r="H556" s="17"/>
      <c r="K556" s="17"/>
      <c r="L556" s="2"/>
      <c r="M556" s="17"/>
      <c r="N556" s="17"/>
      <c r="O556" s="17"/>
    </row>
    <row r="557" spans="8:15" ht="15.75" customHeight="1">
      <c r="H557" s="17"/>
      <c r="K557" s="17"/>
      <c r="L557" s="2"/>
      <c r="M557" s="17"/>
      <c r="N557" s="17"/>
      <c r="O557" s="17"/>
    </row>
    <row r="558" spans="8:15" ht="15.75" customHeight="1">
      <c r="H558" s="17"/>
      <c r="K558" s="17"/>
      <c r="L558" s="2"/>
      <c r="M558" s="17"/>
      <c r="N558" s="17"/>
      <c r="O558" s="17"/>
    </row>
    <row r="559" spans="8:15" ht="15.75" customHeight="1">
      <c r="H559" s="17"/>
      <c r="K559" s="17"/>
      <c r="L559" s="2"/>
      <c r="M559" s="17"/>
      <c r="N559" s="17"/>
      <c r="O559" s="17"/>
    </row>
    <row r="560" spans="8:15" ht="15.75" customHeight="1">
      <c r="H560" s="17"/>
      <c r="K560" s="17"/>
      <c r="L560" s="2"/>
      <c r="M560" s="17"/>
      <c r="N560" s="17"/>
      <c r="O560" s="17"/>
    </row>
    <row r="561" spans="8:15" ht="15.75" customHeight="1">
      <c r="H561" s="17"/>
      <c r="K561" s="17"/>
      <c r="L561" s="2"/>
      <c r="M561" s="17"/>
      <c r="N561" s="17"/>
      <c r="O561" s="17"/>
    </row>
    <row r="562" spans="8:15" ht="15.75" customHeight="1">
      <c r="H562" s="17"/>
      <c r="K562" s="17"/>
      <c r="L562" s="2"/>
      <c r="M562" s="17"/>
      <c r="N562" s="17"/>
      <c r="O562" s="17"/>
    </row>
    <row r="563" spans="8:15" ht="15.75" customHeight="1">
      <c r="H563" s="17"/>
      <c r="K563" s="17"/>
      <c r="L563" s="2"/>
      <c r="M563" s="17"/>
      <c r="N563" s="17"/>
      <c r="O563" s="17"/>
    </row>
    <row r="564" spans="8:15" ht="15.75" customHeight="1">
      <c r="H564" s="17"/>
      <c r="K564" s="17"/>
      <c r="L564" s="2"/>
      <c r="M564" s="17"/>
      <c r="N564" s="17"/>
      <c r="O564" s="17"/>
    </row>
    <row r="565" spans="8:15" ht="15.75" customHeight="1">
      <c r="H565" s="17"/>
      <c r="K565" s="17"/>
      <c r="L565" s="2"/>
      <c r="M565" s="17"/>
      <c r="N565" s="17"/>
      <c r="O565" s="17"/>
    </row>
    <row r="566" spans="8:15" ht="15.75" customHeight="1">
      <c r="H566" s="17"/>
      <c r="K566" s="17"/>
      <c r="L566" s="2"/>
      <c r="M566" s="17"/>
      <c r="N566" s="17"/>
      <c r="O566" s="17"/>
    </row>
    <row r="567" spans="8:15" ht="15.75" customHeight="1">
      <c r="H567" s="17"/>
      <c r="K567" s="17"/>
      <c r="L567" s="2"/>
      <c r="M567" s="17"/>
      <c r="N567" s="17"/>
      <c r="O567" s="17"/>
    </row>
    <row r="568" spans="8:15" ht="15.75" customHeight="1">
      <c r="H568" s="17"/>
      <c r="K568" s="17"/>
      <c r="L568" s="2"/>
      <c r="M568" s="17"/>
      <c r="N568" s="17"/>
      <c r="O568" s="17"/>
    </row>
    <row r="569" spans="8:15" ht="15.75" customHeight="1">
      <c r="H569" s="17"/>
      <c r="K569" s="17"/>
      <c r="L569" s="2"/>
      <c r="M569" s="17"/>
      <c r="N569" s="17"/>
      <c r="O569" s="17"/>
    </row>
    <row r="570" spans="8:15" ht="15.75" customHeight="1">
      <c r="H570" s="17"/>
      <c r="K570" s="17"/>
      <c r="L570" s="2"/>
      <c r="M570" s="17"/>
      <c r="N570" s="17"/>
      <c r="O570" s="17"/>
    </row>
    <row r="571" spans="8:15" ht="15.75" customHeight="1">
      <c r="H571" s="17"/>
      <c r="K571" s="17"/>
      <c r="L571" s="2"/>
      <c r="M571" s="17"/>
      <c r="N571" s="17"/>
      <c r="O571" s="17"/>
    </row>
    <row r="572" spans="8:15" ht="15.75" customHeight="1">
      <c r="H572" s="17"/>
      <c r="K572" s="17"/>
      <c r="L572" s="2"/>
      <c r="M572" s="17"/>
      <c r="N572" s="17"/>
      <c r="O572" s="17"/>
    </row>
    <row r="573" spans="8:15" ht="15.75" customHeight="1">
      <c r="H573" s="17"/>
      <c r="K573" s="17"/>
      <c r="L573" s="2"/>
      <c r="M573" s="17"/>
      <c r="N573" s="17"/>
      <c r="O573" s="17"/>
    </row>
    <row r="574" spans="8:15" ht="15.75" customHeight="1">
      <c r="H574" s="17"/>
      <c r="K574" s="17"/>
      <c r="L574" s="2"/>
      <c r="M574" s="17"/>
      <c r="N574" s="17"/>
      <c r="O574" s="17"/>
    </row>
    <row r="575" spans="8:15" ht="15.75" customHeight="1">
      <c r="H575" s="17"/>
      <c r="K575" s="17"/>
      <c r="L575" s="2"/>
      <c r="M575" s="17"/>
      <c r="N575" s="17"/>
      <c r="O575" s="17"/>
    </row>
    <row r="576" spans="8:15" ht="15.75" customHeight="1">
      <c r="H576" s="17"/>
      <c r="K576" s="17"/>
      <c r="L576" s="2"/>
      <c r="M576" s="17"/>
      <c r="N576" s="17"/>
      <c r="O576" s="17"/>
    </row>
    <row r="577" spans="8:15" ht="15.75" customHeight="1">
      <c r="H577" s="17"/>
      <c r="K577" s="17"/>
      <c r="L577" s="2"/>
      <c r="M577" s="17"/>
      <c r="N577" s="17"/>
      <c r="O577" s="17"/>
    </row>
    <row r="578" spans="8:15" ht="15.75" customHeight="1">
      <c r="H578" s="17"/>
      <c r="K578" s="17"/>
      <c r="L578" s="2"/>
      <c r="M578" s="17"/>
      <c r="N578" s="17"/>
      <c r="O578" s="17"/>
    </row>
    <row r="579" spans="8:15" ht="15.75" customHeight="1">
      <c r="H579" s="17"/>
      <c r="K579" s="17"/>
      <c r="L579" s="2"/>
      <c r="M579" s="17"/>
      <c r="N579" s="17"/>
      <c r="O579" s="17"/>
    </row>
    <row r="580" spans="8:15" ht="15.75" customHeight="1">
      <c r="H580" s="17"/>
      <c r="K580" s="17"/>
      <c r="L580" s="2"/>
      <c r="M580" s="17"/>
      <c r="N580" s="17"/>
      <c r="O580" s="17"/>
    </row>
    <row r="581" spans="8:15" ht="15.75" customHeight="1">
      <c r="H581" s="17"/>
      <c r="K581" s="17"/>
      <c r="L581" s="2"/>
      <c r="M581" s="17"/>
      <c r="N581" s="17"/>
      <c r="O581" s="17"/>
    </row>
    <row r="582" spans="8:15" ht="15.75" customHeight="1">
      <c r="H582" s="17"/>
      <c r="K582" s="17"/>
      <c r="L582" s="2"/>
      <c r="M582" s="17"/>
      <c r="N582" s="17"/>
      <c r="O582" s="17"/>
    </row>
    <row r="583" spans="8:15" ht="15.75" customHeight="1">
      <c r="H583" s="17"/>
      <c r="K583" s="17"/>
      <c r="L583" s="2"/>
      <c r="M583" s="17"/>
      <c r="N583" s="17"/>
      <c r="O583" s="17"/>
    </row>
    <row r="584" spans="8:15" ht="15.75" customHeight="1">
      <c r="H584" s="17"/>
      <c r="K584" s="17"/>
      <c r="L584" s="2"/>
      <c r="M584" s="17"/>
      <c r="N584" s="17"/>
      <c r="O584" s="17"/>
    </row>
    <row r="585" spans="8:15" ht="15.75" customHeight="1">
      <c r="H585" s="17"/>
      <c r="K585" s="17"/>
      <c r="L585" s="2"/>
      <c r="M585" s="17"/>
      <c r="N585" s="17"/>
      <c r="O585" s="17"/>
    </row>
    <row r="586" spans="8:15" ht="15.75" customHeight="1">
      <c r="H586" s="17"/>
      <c r="K586" s="17"/>
      <c r="L586" s="2"/>
      <c r="M586" s="17"/>
      <c r="N586" s="17"/>
      <c r="O586" s="17"/>
    </row>
    <row r="587" spans="8:15" ht="15.75" customHeight="1">
      <c r="H587" s="17"/>
      <c r="K587" s="17"/>
      <c r="L587" s="2"/>
      <c r="M587" s="17"/>
      <c r="N587" s="17"/>
      <c r="O587" s="17"/>
    </row>
    <row r="588" spans="8:15" ht="15.75" customHeight="1">
      <c r="H588" s="17"/>
      <c r="K588" s="17"/>
      <c r="L588" s="2"/>
      <c r="M588" s="17"/>
      <c r="N588" s="17"/>
      <c r="O588" s="17"/>
    </row>
    <row r="589" spans="8:15" ht="15.75" customHeight="1">
      <c r="H589" s="17"/>
      <c r="K589" s="17"/>
      <c r="L589" s="2"/>
      <c r="M589" s="17"/>
      <c r="N589" s="17"/>
      <c r="O589" s="17"/>
    </row>
    <row r="590" spans="8:15" ht="15.75" customHeight="1">
      <c r="H590" s="17"/>
      <c r="K590" s="17"/>
      <c r="L590" s="2"/>
      <c r="M590" s="17"/>
      <c r="N590" s="17"/>
      <c r="O590" s="17"/>
    </row>
    <row r="591" spans="8:15" ht="15.75" customHeight="1">
      <c r="H591" s="17"/>
      <c r="K591" s="17"/>
      <c r="L591" s="2"/>
      <c r="M591" s="17"/>
      <c r="N591" s="17"/>
      <c r="O591" s="17"/>
    </row>
    <row r="592" spans="8:15" ht="15.75" customHeight="1">
      <c r="H592" s="17"/>
      <c r="K592" s="17"/>
      <c r="L592" s="2"/>
      <c r="M592" s="17"/>
      <c r="N592" s="17"/>
      <c r="O592" s="17"/>
    </row>
    <row r="593" spans="8:15" ht="15.75" customHeight="1">
      <c r="H593" s="17"/>
      <c r="K593" s="17"/>
      <c r="L593" s="2"/>
      <c r="M593" s="17"/>
      <c r="N593" s="17"/>
      <c r="O593" s="17"/>
    </row>
    <row r="594" spans="8:15" ht="15.75" customHeight="1">
      <c r="H594" s="17"/>
      <c r="K594" s="17"/>
      <c r="L594" s="2"/>
      <c r="M594" s="17"/>
      <c r="N594" s="17"/>
      <c r="O594" s="17"/>
    </row>
    <row r="595" spans="8:15" ht="15.75" customHeight="1">
      <c r="H595" s="17"/>
      <c r="K595" s="17"/>
      <c r="L595" s="2"/>
      <c r="M595" s="17"/>
      <c r="N595" s="17"/>
      <c r="O595" s="17"/>
    </row>
    <row r="596" spans="8:15" ht="15.75" customHeight="1">
      <c r="H596" s="17"/>
      <c r="K596" s="17"/>
      <c r="L596" s="2"/>
      <c r="M596" s="17"/>
      <c r="N596" s="17"/>
      <c r="O596" s="17"/>
    </row>
    <row r="597" spans="8:15" ht="15.75" customHeight="1">
      <c r="H597" s="17"/>
      <c r="K597" s="17"/>
      <c r="L597" s="2"/>
      <c r="M597" s="17"/>
      <c r="N597" s="17"/>
      <c r="O597" s="17"/>
    </row>
    <row r="598" spans="8:15" ht="15.75" customHeight="1">
      <c r="H598" s="17"/>
      <c r="K598" s="17"/>
      <c r="L598" s="2"/>
      <c r="M598" s="17"/>
      <c r="N598" s="17"/>
      <c r="O598" s="17"/>
    </row>
    <row r="599" spans="8:15" ht="15.75" customHeight="1">
      <c r="H599" s="17"/>
      <c r="K599" s="17"/>
      <c r="L599" s="2"/>
      <c r="M599" s="17"/>
      <c r="N599" s="17"/>
      <c r="O599" s="17"/>
    </row>
    <row r="600" spans="8:15" ht="15.75" customHeight="1">
      <c r="H600" s="17"/>
      <c r="K600" s="17"/>
      <c r="L600" s="2"/>
      <c r="M600" s="17"/>
      <c r="N600" s="17"/>
      <c r="O600" s="17"/>
    </row>
    <row r="601" spans="8:15" ht="15.75" customHeight="1">
      <c r="H601" s="17"/>
      <c r="K601" s="17"/>
      <c r="L601" s="2"/>
      <c r="M601" s="17"/>
      <c r="N601" s="17"/>
      <c r="O601" s="17"/>
    </row>
    <row r="602" spans="8:15" ht="15.75" customHeight="1">
      <c r="H602" s="17"/>
      <c r="K602" s="17"/>
      <c r="L602" s="2"/>
      <c r="M602" s="17"/>
      <c r="N602" s="17"/>
      <c r="O602" s="17"/>
    </row>
    <row r="603" spans="8:15" ht="15.75" customHeight="1">
      <c r="H603" s="17"/>
      <c r="K603" s="17"/>
      <c r="L603" s="2"/>
      <c r="M603" s="17"/>
      <c r="N603" s="17"/>
      <c r="O603" s="17"/>
    </row>
    <row r="604" spans="8:15" ht="15.75" customHeight="1">
      <c r="H604" s="17"/>
      <c r="K604" s="17"/>
      <c r="L604" s="2"/>
      <c r="M604" s="17"/>
      <c r="N604" s="17"/>
      <c r="O604" s="17"/>
    </row>
    <row r="605" spans="8:15" ht="15.75" customHeight="1">
      <c r="H605" s="17"/>
      <c r="K605" s="17"/>
      <c r="L605" s="2"/>
      <c r="M605" s="17"/>
      <c r="N605" s="17"/>
      <c r="O605" s="17"/>
    </row>
    <row r="606" spans="8:15" ht="15.75" customHeight="1">
      <c r="H606" s="17"/>
      <c r="K606" s="17"/>
      <c r="L606" s="2"/>
      <c r="M606" s="17"/>
      <c r="N606" s="17"/>
      <c r="O606" s="17"/>
    </row>
    <row r="607" spans="8:15" ht="15.75" customHeight="1">
      <c r="H607" s="17"/>
      <c r="K607" s="17"/>
      <c r="L607" s="2"/>
      <c r="M607" s="17"/>
      <c r="N607" s="17"/>
      <c r="O607" s="17"/>
    </row>
    <row r="608" spans="8:15" ht="15.75" customHeight="1">
      <c r="H608" s="17"/>
      <c r="K608" s="17"/>
      <c r="L608" s="2"/>
      <c r="M608" s="17"/>
      <c r="N608" s="17"/>
      <c r="O608" s="17"/>
    </row>
    <row r="609" spans="8:15" ht="15.75" customHeight="1">
      <c r="H609" s="17"/>
      <c r="K609" s="17"/>
      <c r="L609" s="2"/>
      <c r="M609" s="17"/>
      <c r="N609" s="17"/>
      <c r="O609" s="17"/>
    </row>
    <row r="610" spans="8:15" ht="15.75" customHeight="1">
      <c r="H610" s="17"/>
      <c r="K610" s="17"/>
      <c r="L610" s="2"/>
      <c r="M610" s="17"/>
      <c r="N610" s="17"/>
      <c r="O610" s="17"/>
    </row>
    <row r="611" spans="8:15" ht="15.75" customHeight="1">
      <c r="H611" s="17"/>
      <c r="K611" s="17"/>
      <c r="L611" s="2"/>
      <c r="M611" s="17"/>
      <c r="N611" s="17"/>
      <c r="O611" s="17"/>
    </row>
    <row r="612" spans="8:15" ht="15.75" customHeight="1">
      <c r="H612" s="17"/>
      <c r="K612" s="17"/>
      <c r="L612" s="2"/>
      <c r="M612" s="17"/>
      <c r="N612" s="17"/>
      <c r="O612" s="17"/>
    </row>
    <row r="613" spans="8:15" ht="15.75" customHeight="1">
      <c r="H613" s="17"/>
      <c r="K613" s="17"/>
      <c r="L613" s="2"/>
      <c r="M613" s="17"/>
      <c r="N613" s="17"/>
      <c r="O613" s="17"/>
    </row>
    <row r="614" spans="8:15" ht="15.75" customHeight="1">
      <c r="H614" s="17"/>
      <c r="K614" s="17"/>
      <c r="L614" s="2"/>
      <c r="M614" s="17"/>
      <c r="N614" s="17"/>
      <c r="O614" s="17"/>
    </row>
    <row r="615" spans="8:15" ht="15.75" customHeight="1">
      <c r="H615" s="17"/>
      <c r="K615" s="17"/>
      <c r="L615" s="2"/>
      <c r="M615" s="17"/>
      <c r="N615" s="17"/>
      <c r="O615" s="17"/>
    </row>
    <row r="616" spans="8:15" ht="15.75" customHeight="1">
      <c r="H616" s="17"/>
      <c r="K616" s="17"/>
      <c r="L616" s="2"/>
      <c r="M616" s="17"/>
      <c r="N616" s="17"/>
      <c r="O616" s="17"/>
    </row>
    <row r="617" spans="8:15" ht="15.75" customHeight="1">
      <c r="H617" s="17"/>
      <c r="K617" s="17"/>
      <c r="L617" s="2"/>
      <c r="M617" s="17"/>
      <c r="N617" s="17"/>
      <c r="O617" s="17"/>
    </row>
    <row r="618" spans="8:15" ht="15.75" customHeight="1">
      <c r="H618" s="17"/>
      <c r="K618" s="17"/>
      <c r="L618" s="2"/>
      <c r="M618" s="17"/>
      <c r="N618" s="17"/>
      <c r="O618" s="17"/>
    </row>
    <row r="619" spans="8:15" ht="15.75" customHeight="1">
      <c r="H619" s="17"/>
      <c r="K619" s="17"/>
      <c r="L619" s="2"/>
      <c r="M619" s="17"/>
      <c r="N619" s="17"/>
      <c r="O619" s="17"/>
    </row>
    <row r="620" spans="8:15" ht="15.75" customHeight="1">
      <c r="H620" s="17"/>
      <c r="K620" s="17"/>
      <c r="L620" s="2"/>
      <c r="M620" s="17"/>
      <c r="N620" s="17"/>
      <c r="O620" s="17"/>
    </row>
    <row r="621" spans="8:15" ht="15.75" customHeight="1">
      <c r="H621" s="17"/>
      <c r="K621" s="17"/>
      <c r="L621" s="2"/>
      <c r="M621" s="17"/>
      <c r="N621" s="17"/>
      <c r="O621" s="17"/>
    </row>
    <row r="622" spans="8:15" ht="15.75" customHeight="1">
      <c r="H622" s="17"/>
      <c r="K622" s="17"/>
      <c r="L622" s="2"/>
      <c r="M622" s="17"/>
      <c r="N622" s="17"/>
      <c r="O622" s="17"/>
    </row>
    <row r="623" spans="8:15" ht="15.75" customHeight="1">
      <c r="H623" s="17"/>
      <c r="K623" s="17"/>
      <c r="L623" s="2"/>
      <c r="M623" s="17"/>
      <c r="N623" s="17"/>
      <c r="O623" s="17"/>
    </row>
    <row r="624" spans="8:15" ht="15.75" customHeight="1">
      <c r="H624" s="17"/>
      <c r="K624" s="17"/>
      <c r="L624" s="2"/>
      <c r="M624" s="17"/>
      <c r="N624" s="17"/>
      <c r="O624" s="17"/>
    </row>
    <row r="625" spans="8:15" ht="15.75" customHeight="1">
      <c r="H625" s="17"/>
      <c r="K625" s="17"/>
      <c r="L625" s="2"/>
      <c r="M625" s="17"/>
      <c r="N625" s="17"/>
      <c r="O625" s="17"/>
    </row>
    <row r="626" spans="8:15" ht="15.75" customHeight="1">
      <c r="H626" s="17"/>
      <c r="K626" s="17"/>
      <c r="L626" s="2"/>
      <c r="M626" s="17"/>
      <c r="N626" s="17"/>
      <c r="O626" s="17"/>
    </row>
    <row r="627" spans="8:15" ht="15.75" customHeight="1">
      <c r="H627" s="17"/>
      <c r="K627" s="17"/>
      <c r="L627" s="2"/>
      <c r="M627" s="17"/>
      <c r="N627" s="17"/>
      <c r="O627" s="17"/>
    </row>
    <row r="628" spans="8:15" ht="15.75" customHeight="1">
      <c r="H628" s="17"/>
      <c r="K628" s="17"/>
      <c r="L628" s="2"/>
      <c r="M628" s="17"/>
      <c r="N628" s="17"/>
      <c r="O628" s="17"/>
    </row>
    <row r="629" spans="8:15" ht="15.75" customHeight="1">
      <c r="H629" s="17"/>
      <c r="K629" s="17"/>
      <c r="L629" s="2"/>
      <c r="M629" s="17"/>
      <c r="N629" s="17"/>
      <c r="O629" s="17"/>
    </row>
    <row r="630" spans="8:15" ht="15.75" customHeight="1">
      <c r="H630" s="17"/>
      <c r="K630" s="17"/>
      <c r="L630" s="2"/>
      <c r="M630" s="17"/>
      <c r="N630" s="17"/>
      <c r="O630" s="17"/>
    </row>
    <row r="631" spans="8:15" ht="15.75" customHeight="1">
      <c r="H631" s="17"/>
      <c r="K631" s="17"/>
      <c r="L631" s="2"/>
      <c r="M631" s="17"/>
      <c r="N631" s="17"/>
      <c r="O631" s="17"/>
    </row>
    <row r="632" spans="8:15" ht="15.75" customHeight="1">
      <c r="H632" s="17"/>
      <c r="K632" s="17"/>
      <c r="L632" s="2"/>
      <c r="M632" s="17"/>
      <c r="N632" s="17"/>
      <c r="O632" s="17"/>
    </row>
    <row r="633" spans="8:15" ht="15.75" customHeight="1">
      <c r="H633" s="17"/>
      <c r="K633" s="17"/>
      <c r="L633" s="2"/>
      <c r="M633" s="17"/>
      <c r="N633" s="17"/>
      <c r="O633" s="17"/>
    </row>
    <row r="634" spans="8:15" ht="15.75" customHeight="1">
      <c r="H634" s="17"/>
      <c r="K634" s="17"/>
      <c r="L634" s="2"/>
      <c r="M634" s="17"/>
      <c r="N634" s="17"/>
      <c r="O634" s="17"/>
    </row>
    <row r="635" spans="8:15" ht="15.75" customHeight="1">
      <c r="H635" s="17"/>
      <c r="K635" s="17"/>
      <c r="L635" s="2"/>
      <c r="M635" s="17"/>
      <c r="N635" s="17"/>
      <c r="O635" s="17"/>
    </row>
    <row r="636" spans="8:15" ht="15.75" customHeight="1">
      <c r="H636" s="17"/>
      <c r="K636" s="17"/>
      <c r="L636" s="2"/>
      <c r="M636" s="17"/>
      <c r="N636" s="17"/>
      <c r="O636" s="17"/>
    </row>
    <row r="637" spans="8:15" ht="15.75" customHeight="1">
      <c r="H637" s="17"/>
      <c r="K637" s="17"/>
      <c r="L637" s="2"/>
      <c r="M637" s="17"/>
      <c r="N637" s="17"/>
      <c r="O637" s="17"/>
    </row>
    <row r="638" spans="8:15" ht="15.75" customHeight="1">
      <c r="H638" s="17"/>
      <c r="K638" s="17"/>
      <c r="L638" s="2"/>
      <c r="M638" s="17"/>
      <c r="N638" s="17"/>
      <c r="O638" s="17"/>
    </row>
    <row r="639" spans="8:15" ht="15.75" customHeight="1">
      <c r="H639" s="17"/>
      <c r="K639" s="17"/>
      <c r="L639" s="2"/>
      <c r="M639" s="17"/>
      <c r="N639" s="17"/>
      <c r="O639" s="17"/>
    </row>
    <row r="640" spans="8:15" ht="15.75" customHeight="1">
      <c r="H640" s="17"/>
      <c r="K640" s="17"/>
      <c r="L640" s="2"/>
      <c r="M640" s="17"/>
      <c r="N640" s="17"/>
      <c r="O640" s="17"/>
    </row>
    <row r="641" spans="8:15" ht="15.75" customHeight="1">
      <c r="H641" s="17"/>
      <c r="K641" s="17"/>
      <c r="L641" s="2"/>
      <c r="M641" s="17"/>
      <c r="N641" s="17"/>
      <c r="O641" s="17"/>
    </row>
    <row r="642" spans="8:15" ht="15.75" customHeight="1">
      <c r="H642" s="17"/>
      <c r="K642" s="17"/>
      <c r="L642" s="2"/>
      <c r="M642" s="17"/>
      <c r="N642" s="17"/>
      <c r="O642" s="17"/>
    </row>
    <row r="643" spans="8:15" ht="15.75" customHeight="1">
      <c r="H643" s="17"/>
      <c r="K643" s="17"/>
      <c r="L643" s="2"/>
      <c r="M643" s="17"/>
      <c r="N643" s="17"/>
      <c r="O643" s="17"/>
    </row>
    <row r="644" spans="8:15" ht="15.75" customHeight="1">
      <c r="H644" s="17"/>
      <c r="K644" s="17"/>
      <c r="L644" s="2"/>
      <c r="M644" s="17"/>
      <c r="N644" s="17"/>
      <c r="O644" s="17"/>
    </row>
    <row r="645" spans="8:15" ht="15.75" customHeight="1">
      <c r="H645" s="17"/>
      <c r="K645" s="17"/>
      <c r="L645" s="2"/>
      <c r="M645" s="17"/>
      <c r="N645" s="17"/>
      <c r="O645" s="17"/>
    </row>
    <row r="646" spans="8:15" ht="15.75" customHeight="1">
      <c r="H646" s="17"/>
      <c r="K646" s="17"/>
      <c r="L646" s="2"/>
      <c r="M646" s="17"/>
      <c r="N646" s="17"/>
      <c r="O646" s="17"/>
    </row>
    <row r="647" spans="8:15" ht="15.75" customHeight="1">
      <c r="H647" s="17"/>
      <c r="K647" s="17"/>
      <c r="L647" s="2"/>
      <c r="M647" s="17"/>
      <c r="N647" s="17"/>
      <c r="O647" s="17"/>
    </row>
    <row r="648" spans="8:15" ht="15.75" customHeight="1">
      <c r="H648" s="17"/>
      <c r="K648" s="17"/>
      <c r="L648" s="2"/>
      <c r="M648" s="17"/>
      <c r="N648" s="17"/>
      <c r="O648" s="17"/>
    </row>
    <row r="649" spans="8:15" ht="15.75" customHeight="1">
      <c r="H649" s="17"/>
      <c r="K649" s="17"/>
      <c r="L649" s="2"/>
      <c r="M649" s="17"/>
      <c r="N649" s="17"/>
      <c r="O649" s="17"/>
    </row>
    <row r="650" spans="8:15" ht="15.75" customHeight="1">
      <c r="H650" s="17"/>
      <c r="K650" s="17"/>
      <c r="L650" s="2"/>
      <c r="M650" s="17"/>
      <c r="N650" s="17"/>
      <c r="O650" s="17"/>
    </row>
    <row r="651" spans="8:15" ht="15.75" customHeight="1">
      <c r="H651" s="17"/>
      <c r="K651" s="17"/>
      <c r="L651" s="2"/>
      <c r="M651" s="17"/>
      <c r="N651" s="17"/>
      <c r="O651" s="17"/>
    </row>
    <row r="652" spans="8:15" ht="15.75" customHeight="1">
      <c r="H652" s="17"/>
      <c r="K652" s="17"/>
      <c r="L652" s="2"/>
      <c r="M652" s="17"/>
      <c r="N652" s="17"/>
      <c r="O652" s="17"/>
    </row>
    <row r="653" spans="8:15" ht="15.75" customHeight="1">
      <c r="H653" s="17"/>
      <c r="K653" s="17"/>
      <c r="L653" s="2"/>
      <c r="M653" s="17"/>
      <c r="N653" s="17"/>
      <c r="O653" s="17"/>
    </row>
    <row r="654" spans="8:15" ht="15.75" customHeight="1">
      <c r="H654" s="17"/>
      <c r="K654" s="17"/>
      <c r="L654" s="2"/>
      <c r="M654" s="17"/>
      <c r="N654" s="17"/>
      <c r="O654" s="17"/>
    </row>
    <row r="655" spans="8:15" ht="15.75" customHeight="1">
      <c r="H655" s="17"/>
      <c r="K655" s="17"/>
      <c r="L655" s="2"/>
      <c r="M655" s="17"/>
      <c r="N655" s="17"/>
      <c r="O655" s="17"/>
    </row>
    <row r="656" spans="8:15" ht="15.75" customHeight="1">
      <c r="H656" s="17"/>
      <c r="K656" s="17"/>
      <c r="L656" s="2"/>
      <c r="M656" s="17"/>
      <c r="N656" s="17"/>
      <c r="O656" s="17"/>
    </row>
    <row r="657" spans="8:15" ht="15.75" customHeight="1">
      <c r="H657" s="17"/>
      <c r="K657" s="17"/>
      <c r="L657" s="2"/>
      <c r="M657" s="17"/>
      <c r="N657" s="17"/>
      <c r="O657" s="17"/>
    </row>
    <row r="658" spans="8:15" ht="15.75" customHeight="1">
      <c r="H658" s="17"/>
      <c r="K658" s="17"/>
      <c r="L658" s="2"/>
      <c r="M658" s="17"/>
      <c r="N658" s="17"/>
      <c r="O658" s="17"/>
    </row>
    <row r="659" spans="8:15" ht="15.75" customHeight="1">
      <c r="H659" s="17"/>
      <c r="K659" s="17"/>
      <c r="L659" s="2"/>
      <c r="M659" s="17"/>
      <c r="N659" s="17"/>
      <c r="O659" s="17"/>
    </row>
    <row r="660" spans="8:15" ht="15.75" customHeight="1">
      <c r="H660" s="17"/>
      <c r="K660" s="17"/>
      <c r="L660" s="2"/>
      <c r="M660" s="17"/>
      <c r="N660" s="17"/>
      <c r="O660" s="17"/>
    </row>
    <row r="661" spans="8:15" ht="15.75" customHeight="1">
      <c r="H661" s="17"/>
      <c r="K661" s="17"/>
      <c r="L661" s="2"/>
      <c r="M661" s="17"/>
      <c r="N661" s="17"/>
      <c r="O661" s="17"/>
    </row>
    <row r="662" spans="8:15" ht="15.75" customHeight="1">
      <c r="H662" s="17"/>
      <c r="K662" s="17"/>
      <c r="L662" s="2"/>
      <c r="M662" s="17"/>
      <c r="N662" s="17"/>
      <c r="O662" s="17"/>
    </row>
    <row r="663" spans="8:15" ht="15.75" customHeight="1">
      <c r="H663" s="17"/>
      <c r="K663" s="17"/>
      <c r="L663" s="2"/>
      <c r="M663" s="17"/>
      <c r="N663" s="17"/>
      <c r="O663" s="17"/>
    </row>
    <row r="664" spans="8:15" ht="15.75" customHeight="1">
      <c r="H664" s="17"/>
      <c r="K664" s="17"/>
      <c r="L664" s="2"/>
      <c r="M664" s="17"/>
      <c r="N664" s="17"/>
      <c r="O664" s="17"/>
    </row>
    <row r="665" spans="8:15" ht="15.75" customHeight="1">
      <c r="H665" s="17"/>
      <c r="K665" s="17"/>
      <c r="L665" s="2"/>
      <c r="M665" s="17"/>
      <c r="N665" s="17"/>
      <c r="O665" s="17"/>
    </row>
    <row r="666" spans="8:15" ht="15.75" customHeight="1">
      <c r="H666" s="17"/>
      <c r="K666" s="17"/>
      <c r="L666" s="2"/>
      <c r="M666" s="17"/>
      <c r="N666" s="17"/>
      <c r="O666" s="17"/>
    </row>
    <row r="667" spans="8:15" ht="15.75" customHeight="1">
      <c r="H667" s="17"/>
      <c r="K667" s="17"/>
      <c r="L667" s="2"/>
      <c r="M667" s="17"/>
      <c r="N667" s="17"/>
      <c r="O667" s="17"/>
    </row>
    <row r="668" spans="8:15" ht="15.75" customHeight="1">
      <c r="H668" s="17"/>
      <c r="K668" s="17"/>
      <c r="L668" s="2"/>
      <c r="M668" s="17"/>
      <c r="N668" s="17"/>
      <c r="O668" s="17"/>
    </row>
    <row r="669" spans="8:15" ht="15.75" customHeight="1">
      <c r="H669" s="17"/>
      <c r="K669" s="17"/>
      <c r="L669" s="2"/>
      <c r="M669" s="17"/>
      <c r="N669" s="17"/>
      <c r="O669" s="17"/>
    </row>
    <row r="670" spans="8:15" ht="15.75" customHeight="1">
      <c r="H670" s="17"/>
      <c r="K670" s="17"/>
      <c r="L670" s="2"/>
      <c r="M670" s="17"/>
      <c r="N670" s="17"/>
      <c r="O670" s="17"/>
    </row>
    <row r="671" spans="8:15" ht="15.75" customHeight="1">
      <c r="H671" s="17"/>
      <c r="K671" s="17"/>
      <c r="L671" s="2"/>
      <c r="M671" s="17"/>
      <c r="N671" s="17"/>
      <c r="O671" s="17"/>
    </row>
    <row r="672" spans="8:15" ht="15.75" customHeight="1">
      <c r="H672" s="17"/>
      <c r="K672" s="17"/>
      <c r="L672" s="2"/>
      <c r="M672" s="17"/>
      <c r="N672" s="17"/>
      <c r="O672" s="17"/>
    </row>
    <row r="673" spans="8:15" ht="15.75" customHeight="1">
      <c r="H673" s="17"/>
      <c r="K673" s="17"/>
      <c r="L673" s="2"/>
      <c r="M673" s="17"/>
      <c r="N673" s="17"/>
      <c r="O673" s="17"/>
    </row>
    <row r="674" spans="8:15" ht="15.75" customHeight="1">
      <c r="H674" s="17"/>
      <c r="K674" s="17"/>
      <c r="L674" s="2"/>
      <c r="M674" s="17"/>
      <c r="N674" s="17"/>
      <c r="O674" s="17"/>
    </row>
    <row r="675" spans="8:15" ht="15.75" customHeight="1">
      <c r="H675" s="17"/>
      <c r="K675" s="17"/>
      <c r="L675" s="2"/>
      <c r="M675" s="17"/>
      <c r="N675" s="17"/>
      <c r="O675" s="17"/>
    </row>
    <row r="676" spans="8:15" ht="15.75" customHeight="1">
      <c r="H676" s="17"/>
      <c r="K676" s="17"/>
      <c r="L676" s="2"/>
      <c r="M676" s="17"/>
      <c r="N676" s="17"/>
      <c r="O676" s="17"/>
    </row>
    <row r="677" spans="8:15" ht="15.75" customHeight="1">
      <c r="H677" s="17"/>
      <c r="K677" s="17"/>
      <c r="L677" s="2"/>
      <c r="M677" s="17"/>
      <c r="N677" s="17"/>
      <c r="O677" s="17"/>
    </row>
    <row r="678" spans="8:15" ht="15.75" customHeight="1">
      <c r="H678" s="17"/>
      <c r="K678" s="17"/>
      <c r="L678" s="2"/>
      <c r="M678" s="17"/>
      <c r="N678" s="17"/>
      <c r="O678" s="17"/>
    </row>
    <row r="679" spans="8:15" ht="15.75" customHeight="1">
      <c r="H679" s="17"/>
      <c r="K679" s="17"/>
      <c r="L679" s="2"/>
      <c r="M679" s="17"/>
      <c r="N679" s="17"/>
      <c r="O679" s="17"/>
    </row>
    <row r="680" spans="8:15" ht="15.75" customHeight="1">
      <c r="H680" s="17"/>
      <c r="K680" s="17"/>
      <c r="L680" s="2"/>
      <c r="M680" s="17"/>
      <c r="N680" s="17"/>
      <c r="O680" s="17"/>
    </row>
    <row r="681" spans="8:15" ht="15.75" customHeight="1">
      <c r="H681" s="17"/>
      <c r="K681" s="17"/>
      <c r="L681" s="2"/>
      <c r="M681" s="17"/>
      <c r="N681" s="17"/>
      <c r="O681" s="17"/>
    </row>
    <row r="682" spans="8:15" ht="15.75" customHeight="1">
      <c r="H682" s="17"/>
      <c r="K682" s="17"/>
      <c r="L682" s="2"/>
      <c r="M682" s="17"/>
      <c r="N682" s="17"/>
      <c r="O682" s="17"/>
    </row>
    <row r="683" spans="8:15" ht="15.75" customHeight="1">
      <c r="H683" s="17"/>
      <c r="K683" s="17"/>
      <c r="L683" s="2"/>
      <c r="M683" s="17"/>
      <c r="N683" s="17"/>
      <c r="O683" s="17"/>
    </row>
    <row r="684" spans="8:15" ht="15.75" customHeight="1">
      <c r="H684" s="17"/>
      <c r="K684" s="17"/>
      <c r="L684" s="2"/>
      <c r="M684" s="17"/>
      <c r="N684" s="17"/>
      <c r="O684" s="17"/>
    </row>
    <row r="685" spans="8:15" ht="15.75" customHeight="1">
      <c r="H685" s="17"/>
      <c r="K685" s="17"/>
      <c r="L685" s="2"/>
      <c r="M685" s="17"/>
      <c r="N685" s="17"/>
      <c r="O685" s="17"/>
    </row>
    <row r="686" spans="8:15" ht="15.75" customHeight="1">
      <c r="H686" s="17"/>
      <c r="K686" s="17"/>
      <c r="L686" s="2"/>
      <c r="M686" s="17"/>
      <c r="N686" s="17"/>
      <c r="O686" s="17"/>
    </row>
    <row r="687" spans="8:15" ht="15.75" customHeight="1">
      <c r="H687" s="17"/>
      <c r="K687" s="17"/>
      <c r="L687" s="2"/>
      <c r="M687" s="17"/>
      <c r="N687" s="17"/>
      <c r="O687" s="17"/>
    </row>
    <row r="688" spans="8:15" ht="15.75" customHeight="1">
      <c r="H688" s="17"/>
      <c r="K688" s="17"/>
      <c r="L688" s="2"/>
      <c r="M688" s="17"/>
      <c r="N688" s="17"/>
      <c r="O688" s="17"/>
    </row>
    <row r="689" spans="8:15" ht="15.75" customHeight="1">
      <c r="H689" s="17"/>
      <c r="K689" s="17"/>
      <c r="L689" s="2"/>
      <c r="M689" s="17"/>
      <c r="N689" s="17"/>
      <c r="O689" s="17"/>
    </row>
    <row r="690" spans="8:15" ht="15.75" customHeight="1">
      <c r="H690" s="17"/>
      <c r="K690" s="17"/>
      <c r="L690" s="2"/>
      <c r="M690" s="17"/>
      <c r="N690" s="17"/>
      <c r="O690" s="17"/>
    </row>
    <row r="691" spans="8:15" ht="15.75" customHeight="1">
      <c r="H691" s="17"/>
      <c r="K691" s="17"/>
      <c r="L691" s="2"/>
      <c r="M691" s="17"/>
      <c r="N691" s="17"/>
      <c r="O691" s="17"/>
    </row>
    <row r="692" spans="8:15" ht="15.75" customHeight="1">
      <c r="H692" s="17"/>
      <c r="K692" s="17"/>
      <c r="L692" s="2"/>
      <c r="M692" s="17"/>
      <c r="N692" s="17"/>
      <c r="O692" s="17"/>
    </row>
    <row r="693" spans="8:15" ht="15.75" customHeight="1">
      <c r="H693" s="17"/>
      <c r="K693" s="17"/>
      <c r="L693" s="2"/>
      <c r="M693" s="17"/>
      <c r="N693" s="17"/>
      <c r="O693" s="17"/>
    </row>
    <row r="694" spans="8:15" ht="15.75" customHeight="1">
      <c r="H694" s="17"/>
      <c r="K694" s="17"/>
      <c r="L694" s="2"/>
      <c r="M694" s="17"/>
      <c r="N694" s="17"/>
      <c r="O694" s="17"/>
    </row>
    <row r="695" spans="8:15" ht="15.75" customHeight="1">
      <c r="H695" s="17"/>
      <c r="K695" s="17"/>
      <c r="L695" s="2"/>
      <c r="M695" s="17"/>
      <c r="N695" s="17"/>
      <c r="O695" s="17"/>
    </row>
    <row r="696" spans="8:15" ht="15.75" customHeight="1">
      <c r="H696" s="17"/>
      <c r="K696" s="17"/>
      <c r="L696" s="2"/>
      <c r="M696" s="17"/>
      <c r="N696" s="17"/>
      <c r="O696" s="17"/>
    </row>
    <row r="697" spans="8:15" ht="15.75" customHeight="1">
      <c r="H697" s="17"/>
      <c r="K697" s="17"/>
      <c r="L697" s="2"/>
      <c r="M697" s="17"/>
      <c r="N697" s="17"/>
      <c r="O697" s="17"/>
    </row>
    <row r="698" spans="8:15" ht="15.75" customHeight="1">
      <c r="H698" s="17"/>
      <c r="K698" s="17"/>
      <c r="L698" s="2"/>
      <c r="M698" s="17"/>
      <c r="N698" s="17"/>
      <c r="O698" s="17"/>
    </row>
    <row r="699" spans="8:15" ht="15.75" customHeight="1">
      <c r="H699" s="17"/>
      <c r="K699" s="17"/>
      <c r="L699" s="2"/>
      <c r="M699" s="17"/>
      <c r="N699" s="17"/>
      <c r="O699" s="17"/>
    </row>
    <row r="700" spans="8:15" ht="15.75" customHeight="1">
      <c r="H700" s="17"/>
      <c r="K700" s="17"/>
      <c r="L700" s="2"/>
      <c r="M700" s="17"/>
      <c r="N700" s="17"/>
      <c r="O700" s="17"/>
    </row>
    <row r="701" spans="8:15" ht="15.75" customHeight="1">
      <c r="H701" s="17"/>
      <c r="K701" s="17"/>
      <c r="L701" s="2"/>
      <c r="M701" s="17"/>
      <c r="N701" s="17"/>
      <c r="O701" s="17"/>
    </row>
    <row r="702" spans="8:15" ht="15.75" customHeight="1">
      <c r="H702" s="17"/>
      <c r="K702" s="17"/>
      <c r="L702" s="2"/>
      <c r="M702" s="17"/>
      <c r="N702" s="17"/>
      <c r="O702" s="17"/>
    </row>
    <row r="703" spans="8:15" ht="15.75" customHeight="1">
      <c r="H703" s="17"/>
      <c r="K703" s="17"/>
      <c r="L703" s="2"/>
      <c r="M703" s="17"/>
      <c r="N703" s="17"/>
      <c r="O703" s="17"/>
    </row>
    <row r="704" spans="8:15" ht="15.75" customHeight="1">
      <c r="H704" s="17"/>
      <c r="K704" s="17"/>
      <c r="L704" s="2"/>
      <c r="M704" s="17"/>
      <c r="N704" s="17"/>
      <c r="O704" s="17"/>
    </row>
    <row r="705" spans="8:15" ht="15.75" customHeight="1">
      <c r="H705" s="17"/>
      <c r="K705" s="17"/>
      <c r="L705" s="2"/>
      <c r="M705" s="17"/>
      <c r="N705" s="17"/>
      <c r="O705" s="17"/>
    </row>
    <row r="706" spans="8:15" ht="15.75" customHeight="1">
      <c r="H706" s="17"/>
      <c r="K706" s="17"/>
      <c r="L706" s="2"/>
      <c r="M706" s="17"/>
      <c r="N706" s="17"/>
      <c r="O706" s="17"/>
    </row>
    <row r="707" spans="8:15" ht="15.75" customHeight="1">
      <c r="H707" s="17"/>
      <c r="K707" s="17"/>
      <c r="L707" s="2"/>
      <c r="M707" s="17"/>
      <c r="N707" s="17"/>
      <c r="O707" s="17"/>
    </row>
    <row r="708" spans="8:15" ht="15.75" customHeight="1">
      <c r="H708" s="17"/>
      <c r="K708" s="17"/>
      <c r="L708" s="2"/>
      <c r="M708" s="17"/>
      <c r="N708" s="17"/>
      <c r="O708" s="17"/>
    </row>
    <row r="709" spans="8:15" ht="15.75" customHeight="1">
      <c r="H709" s="17"/>
      <c r="K709" s="17"/>
      <c r="L709" s="2"/>
      <c r="M709" s="17"/>
      <c r="N709" s="17"/>
      <c r="O709" s="17"/>
    </row>
    <row r="710" spans="8:15" ht="15.75" customHeight="1">
      <c r="H710" s="17"/>
      <c r="K710" s="17"/>
      <c r="L710" s="2"/>
      <c r="M710" s="17"/>
      <c r="N710" s="17"/>
      <c r="O710" s="17"/>
    </row>
    <row r="711" spans="8:15" ht="15.75" customHeight="1">
      <c r="H711" s="17"/>
      <c r="K711" s="17"/>
      <c r="L711" s="2"/>
      <c r="M711" s="17"/>
      <c r="N711" s="17"/>
      <c r="O711" s="17"/>
    </row>
    <row r="712" spans="8:15" ht="15.75" customHeight="1">
      <c r="H712" s="17"/>
      <c r="K712" s="17"/>
      <c r="L712" s="2"/>
      <c r="M712" s="17"/>
      <c r="N712" s="17"/>
      <c r="O712" s="17"/>
    </row>
    <row r="713" spans="8:15" ht="15.75" customHeight="1">
      <c r="H713" s="17"/>
      <c r="K713" s="17"/>
      <c r="L713" s="2"/>
      <c r="M713" s="17"/>
      <c r="N713" s="17"/>
      <c r="O713" s="17"/>
    </row>
    <row r="714" spans="8:15" ht="15.75" customHeight="1">
      <c r="H714" s="17"/>
      <c r="K714" s="17"/>
      <c r="L714" s="2"/>
      <c r="M714" s="17"/>
      <c r="N714" s="17"/>
      <c r="O714" s="17"/>
    </row>
    <row r="715" spans="8:15" ht="15.75" customHeight="1">
      <c r="H715" s="17"/>
      <c r="K715" s="17"/>
      <c r="L715" s="2"/>
      <c r="M715" s="17"/>
      <c r="N715" s="17"/>
      <c r="O715" s="17"/>
    </row>
    <row r="716" spans="8:15" ht="15.75" customHeight="1">
      <c r="H716" s="17"/>
      <c r="K716" s="17"/>
      <c r="L716" s="2"/>
      <c r="M716" s="17"/>
      <c r="N716" s="17"/>
      <c r="O716" s="17"/>
    </row>
    <row r="717" spans="8:15" ht="15.75" customHeight="1">
      <c r="H717" s="17"/>
      <c r="K717" s="17"/>
      <c r="L717" s="2"/>
      <c r="M717" s="17"/>
      <c r="N717" s="17"/>
      <c r="O717" s="17"/>
    </row>
    <row r="718" spans="8:15" ht="15.75" customHeight="1">
      <c r="H718" s="17"/>
      <c r="K718" s="17"/>
      <c r="L718" s="2"/>
      <c r="M718" s="17"/>
      <c r="N718" s="17"/>
      <c r="O718" s="17"/>
    </row>
    <row r="719" spans="8:15" ht="15.75" customHeight="1">
      <c r="H719" s="17"/>
      <c r="K719" s="17"/>
      <c r="L719" s="2"/>
      <c r="M719" s="17"/>
      <c r="N719" s="17"/>
      <c r="O719" s="17"/>
    </row>
    <row r="720" spans="8:15" ht="15.75" customHeight="1">
      <c r="H720" s="17"/>
      <c r="K720" s="17"/>
      <c r="L720" s="2"/>
      <c r="M720" s="17"/>
      <c r="N720" s="17"/>
      <c r="O720" s="17"/>
    </row>
    <row r="721" spans="8:15" ht="15.75" customHeight="1">
      <c r="H721" s="17"/>
      <c r="K721" s="17"/>
      <c r="L721" s="2"/>
      <c r="M721" s="17"/>
      <c r="N721" s="17"/>
      <c r="O721" s="17"/>
    </row>
    <row r="722" spans="8:15" ht="15.75" customHeight="1">
      <c r="H722" s="17"/>
      <c r="K722" s="17"/>
      <c r="L722" s="2"/>
      <c r="M722" s="17"/>
      <c r="N722" s="17"/>
      <c r="O722" s="17"/>
    </row>
    <row r="723" spans="8:15" ht="15.75" customHeight="1">
      <c r="H723" s="17"/>
      <c r="K723" s="17"/>
      <c r="L723" s="2"/>
      <c r="M723" s="17"/>
      <c r="N723" s="17"/>
      <c r="O723" s="17"/>
    </row>
    <row r="724" spans="8:15" ht="15.75" customHeight="1">
      <c r="H724" s="17"/>
      <c r="K724" s="17"/>
      <c r="L724" s="2"/>
      <c r="M724" s="17"/>
      <c r="N724" s="17"/>
      <c r="O724" s="17"/>
    </row>
    <row r="725" spans="8:15" ht="15.75" customHeight="1">
      <c r="H725" s="17"/>
      <c r="K725" s="17"/>
      <c r="L725" s="2"/>
      <c r="M725" s="17"/>
      <c r="N725" s="17"/>
      <c r="O725" s="17"/>
    </row>
    <row r="726" spans="8:15" ht="15.75" customHeight="1">
      <c r="H726" s="17"/>
      <c r="K726" s="17"/>
      <c r="L726" s="2"/>
      <c r="M726" s="17"/>
      <c r="N726" s="17"/>
      <c r="O726" s="17"/>
    </row>
    <row r="727" spans="8:15" ht="15.75" customHeight="1">
      <c r="H727" s="17"/>
      <c r="K727" s="17"/>
      <c r="L727" s="2"/>
      <c r="M727" s="17"/>
      <c r="N727" s="17"/>
      <c r="O727" s="17"/>
    </row>
    <row r="728" spans="8:15" ht="15.75" customHeight="1">
      <c r="H728" s="17"/>
      <c r="K728" s="17"/>
      <c r="L728" s="2"/>
      <c r="M728" s="17"/>
      <c r="N728" s="17"/>
      <c r="O728" s="17"/>
    </row>
    <row r="729" spans="8:15" ht="15.75" customHeight="1">
      <c r="H729" s="17"/>
      <c r="K729" s="17"/>
      <c r="L729" s="2"/>
      <c r="M729" s="17"/>
      <c r="N729" s="17"/>
      <c r="O729" s="17"/>
    </row>
    <row r="730" spans="8:15" ht="15.75" customHeight="1">
      <c r="H730" s="17"/>
      <c r="K730" s="17"/>
      <c r="L730" s="2"/>
      <c r="M730" s="17"/>
      <c r="N730" s="17"/>
      <c r="O730" s="17"/>
    </row>
    <row r="731" spans="8:15" ht="15.75" customHeight="1">
      <c r="H731" s="17"/>
      <c r="K731" s="17"/>
      <c r="L731" s="2"/>
      <c r="M731" s="17"/>
      <c r="N731" s="17"/>
      <c r="O731" s="17"/>
    </row>
    <row r="732" spans="8:15" ht="15.75" customHeight="1">
      <c r="H732" s="17"/>
      <c r="K732" s="17"/>
      <c r="L732" s="2"/>
      <c r="M732" s="17"/>
      <c r="N732" s="17"/>
      <c r="O732" s="17"/>
    </row>
    <row r="733" spans="8:15" ht="15.75" customHeight="1">
      <c r="H733" s="17"/>
      <c r="K733" s="17"/>
      <c r="L733" s="2"/>
      <c r="M733" s="17"/>
      <c r="N733" s="17"/>
      <c r="O733" s="17"/>
    </row>
    <row r="734" spans="8:15" ht="15.75" customHeight="1">
      <c r="H734" s="17"/>
      <c r="K734" s="17"/>
      <c r="L734" s="2"/>
      <c r="M734" s="17"/>
      <c r="N734" s="17"/>
      <c r="O734" s="17"/>
    </row>
    <row r="735" spans="8:15" ht="15.75" customHeight="1">
      <c r="H735" s="17"/>
      <c r="K735" s="17"/>
      <c r="L735" s="2"/>
      <c r="M735" s="17"/>
      <c r="N735" s="17"/>
      <c r="O735" s="17"/>
    </row>
    <row r="736" spans="8:15" ht="15.75" customHeight="1">
      <c r="H736" s="17"/>
      <c r="K736" s="17"/>
      <c r="L736" s="2"/>
      <c r="M736" s="17"/>
      <c r="N736" s="17"/>
      <c r="O736" s="17"/>
    </row>
    <row r="737" spans="8:15" ht="15.75" customHeight="1">
      <c r="H737" s="17"/>
      <c r="K737" s="17"/>
      <c r="L737" s="2"/>
      <c r="M737" s="17"/>
      <c r="N737" s="17"/>
      <c r="O737" s="17"/>
    </row>
    <row r="738" spans="8:15" ht="15.75" customHeight="1">
      <c r="H738" s="17"/>
      <c r="K738" s="17"/>
      <c r="L738" s="2"/>
      <c r="M738" s="17"/>
      <c r="N738" s="17"/>
      <c r="O738" s="17"/>
    </row>
    <row r="739" spans="8:15" ht="15.75" customHeight="1">
      <c r="H739" s="17"/>
      <c r="K739" s="17"/>
      <c r="L739" s="2"/>
      <c r="M739" s="17"/>
      <c r="N739" s="17"/>
      <c r="O739" s="17"/>
    </row>
    <row r="740" spans="8:15" ht="15.75" customHeight="1">
      <c r="H740" s="17"/>
      <c r="K740" s="17"/>
      <c r="L740" s="2"/>
      <c r="M740" s="17"/>
      <c r="N740" s="17"/>
      <c r="O740" s="17"/>
    </row>
    <row r="741" spans="8:15" ht="15.75" customHeight="1">
      <c r="H741" s="17"/>
      <c r="K741" s="17"/>
      <c r="L741" s="2"/>
      <c r="M741" s="17"/>
      <c r="N741" s="17"/>
      <c r="O741" s="17"/>
    </row>
    <row r="742" spans="8:15" ht="15.75" customHeight="1">
      <c r="H742" s="17"/>
      <c r="K742" s="17"/>
      <c r="L742" s="2"/>
      <c r="M742" s="17"/>
      <c r="N742" s="17"/>
      <c r="O742" s="17"/>
    </row>
    <row r="743" spans="8:15" ht="15.75" customHeight="1">
      <c r="H743" s="17"/>
      <c r="K743" s="17"/>
      <c r="L743" s="2"/>
      <c r="M743" s="17"/>
      <c r="N743" s="17"/>
      <c r="O743" s="17"/>
    </row>
    <row r="744" spans="8:15" ht="15.75" customHeight="1">
      <c r="H744" s="17"/>
      <c r="K744" s="17"/>
      <c r="L744" s="2"/>
      <c r="M744" s="17"/>
      <c r="N744" s="17"/>
      <c r="O744" s="17"/>
    </row>
    <row r="745" spans="8:15" ht="15.75" customHeight="1">
      <c r="H745" s="17"/>
      <c r="K745" s="17"/>
      <c r="L745" s="2"/>
      <c r="M745" s="17"/>
      <c r="N745" s="17"/>
      <c r="O745" s="17"/>
    </row>
    <row r="746" spans="8:15" ht="15.75" customHeight="1">
      <c r="H746" s="17"/>
      <c r="K746" s="17"/>
      <c r="L746" s="2"/>
      <c r="M746" s="17"/>
      <c r="N746" s="17"/>
      <c r="O746" s="17"/>
    </row>
    <row r="747" spans="8:15" ht="15.75" customHeight="1">
      <c r="H747" s="17"/>
      <c r="K747" s="17"/>
      <c r="L747" s="2"/>
      <c r="M747" s="17"/>
      <c r="N747" s="17"/>
      <c r="O747" s="17"/>
    </row>
    <row r="748" spans="8:15" ht="15.75" customHeight="1">
      <c r="H748" s="17"/>
      <c r="K748" s="17"/>
      <c r="L748" s="2"/>
      <c r="M748" s="17"/>
      <c r="N748" s="17"/>
      <c r="O748" s="17"/>
    </row>
    <row r="749" spans="8:15" ht="15.75" customHeight="1">
      <c r="H749" s="17"/>
      <c r="K749" s="17"/>
      <c r="L749" s="2"/>
      <c r="M749" s="17"/>
      <c r="N749" s="17"/>
      <c r="O749" s="17"/>
    </row>
    <row r="750" spans="8:15" ht="15.75" customHeight="1">
      <c r="H750" s="17"/>
      <c r="K750" s="17"/>
      <c r="L750" s="2"/>
      <c r="M750" s="17"/>
      <c r="N750" s="17"/>
      <c r="O750" s="17"/>
    </row>
    <row r="751" spans="8:15" ht="15.75" customHeight="1">
      <c r="H751" s="17"/>
      <c r="K751" s="17"/>
      <c r="L751" s="2"/>
      <c r="M751" s="17"/>
      <c r="N751" s="17"/>
      <c r="O751" s="17"/>
    </row>
    <row r="752" spans="8:15" ht="15.75" customHeight="1">
      <c r="H752" s="17"/>
      <c r="K752" s="17"/>
      <c r="L752" s="2"/>
      <c r="M752" s="17"/>
      <c r="N752" s="17"/>
      <c r="O752" s="17"/>
    </row>
    <row r="753" spans="8:15" ht="15.75" customHeight="1">
      <c r="H753" s="17"/>
      <c r="K753" s="17"/>
      <c r="L753" s="2"/>
      <c r="M753" s="17"/>
      <c r="N753" s="17"/>
      <c r="O753" s="17"/>
    </row>
    <row r="754" spans="8:15" ht="15.75" customHeight="1">
      <c r="H754" s="17"/>
      <c r="K754" s="17"/>
      <c r="L754" s="2"/>
      <c r="M754" s="17"/>
      <c r="N754" s="17"/>
      <c r="O754" s="17"/>
    </row>
    <row r="755" spans="8:15" ht="15.75" customHeight="1">
      <c r="H755" s="17"/>
      <c r="K755" s="17"/>
      <c r="L755" s="2"/>
      <c r="M755" s="17"/>
      <c r="N755" s="17"/>
      <c r="O755" s="17"/>
    </row>
    <row r="756" spans="8:15" ht="15.75" customHeight="1">
      <c r="H756" s="17"/>
      <c r="K756" s="17"/>
      <c r="L756" s="2"/>
      <c r="M756" s="17"/>
      <c r="N756" s="17"/>
      <c r="O756" s="17"/>
    </row>
    <row r="757" spans="8:15" ht="15.75" customHeight="1">
      <c r="H757" s="17"/>
      <c r="K757" s="17"/>
      <c r="L757" s="2"/>
      <c r="M757" s="17"/>
      <c r="N757" s="17"/>
      <c r="O757" s="17"/>
    </row>
    <row r="758" spans="8:15" ht="15.75" customHeight="1">
      <c r="H758" s="17"/>
      <c r="K758" s="17"/>
      <c r="L758" s="2"/>
      <c r="M758" s="17"/>
      <c r="N758" s="17"/>
      <c r="O758" s="17"/>
    </row>
    <row r="759" spans="8:15" ht="15.75" customHeight="1">
      <c r="H759" s="17"/>
      <c r="K759" s="17"/>
      <c r="L759" s="2"/>
      <c r="M759" s="17"/>
      <c r="N759" s="17"/>
      <c r="O759" s="17"/>
    </row>
    <row r="760" spans="8:15" ht="15.75" customHeight="1">
      <c r="H760" s="17"/>
      <c r="K760" s="17"/>
      <c r="L760" s="2"/>
      <c r="M760" s="17"/>
      <c r="N760" s="17"/>
      <c r="O760" s="17"/>
    </row>
    <row r="761" spans="8:15" ht="15.75" customHeight="1">
      <c r="H761" s="17"/>
      <c r="K761" s="17"/>
      <c r="L761" s="2"/>
      <c r="M761" s="17"/>
      <c r="N761" s="17"/>
      <c r="O761" s="17"/>
    </row>
    <row r="762" spans="8:15" ht="15.75" customHeight="1">
      <c r="H762" s="17"/>
      <c r="K762" s="17"/>
      <c r="L762" s="2"/>
      <c r="M762" s="17"/>
      <c r="N762" s="17"/>
      <c r="O762" s="17"/>
    </row>
    <row r="763" spans="8:15" ht="15.75" customHeight="1">
      <c r="H763" s="17"/>
      <c r="K763" s="17"/>
      <c r="L763" s="2"/>
      <c r="M763" s="17"/>
      <c r="N763" s="17"/>
      <c r="O763" s="17"/>
    </row>
    <row r="764" spans="8:15" ht="15.75" customHeight="1">
      <c r="H764" s="17"/>
      <c r="K764" s="17"/>
      <c r="L764" s="2"/>
      <c r="M764" s="17"/>
      <c r="N764" s="17"/>
      <c r="O764" s="17"/>
    </row>
    <row r="765" spans="8:15" ht="15.75" customHeight="1">
      <c r="H765" s="17"/>
      <c r="K765" s="17"/>
      <c r="L765" s="2"/>
      <c r="M765" s="17"/>
      <c r="N765" s="17"/>
      <c r="O765" s="17"/>
    </row>
    <row r="766" spans="8:15" ht="15.75" customHeight="1">
      <c r="H766" s="17"/>
      <c r="K766" s="17"/>
      <c r="L766" s="2"/>
      <c r="M766" s="17"/>
      <c r="N766" s="17"/>
      <c r="O766" s="17"/>
    </row>
    <row r="767" spans="8:15" ht="15.75" customHeight="1">
      <c r="H767" s="17"/>
      <c r="K767" s="17"/>
      <c r="L767" s="2"/>
      <c r="M767" s="17"/>
      <c r="N767" s="17"/>
      <c r="O767" s="17"/>
    </row>
    <row r="768" spans="8:15" ht="15.75" customHeight="1">
      <c r="H768" s="17"/>
      <c r="K768" s="17"/>
      <c r="L768" s="2"/>
      <c r="M768" s="17"/>
      <c r="N768" s="17"/>
      <c r="O768" s="17"/>
    </row>
    <row r="769" spans="8:15" ht="15.75" customHeight="1">
      <c r="H769" s="17"/>
      <c r="K769" s="17"/>
      <c r="L769" s="2"/>
      <c r="M769" s="17"/>
      <c r="N769" s="17"/>
      <c r="O769" s="17"/>
    </row>
    <row r="770" spans="8:15" ht="15.75" customHeight="1">
      <c r="H770" s="17"/>
      <c r="K770" s="17"/>
      <c r="L770" s="2"/>
      <c r="M770" s="17"/>
      <c r="N770" s="17"/>
      <c r="O770" s="17"/>
    </row>
    <row r="771" spans="8:15" ht="15.75" customHeight="1">
      <c r="H771" s="17"/>
      <c r="K771" s="17"/>
      <c r="L771" s="2"/>
      <c r="M771" s="17"/>
      <c r="N771" s="17"/>
      <c r="O771" s="17"/>
    </row>
    <row r="772" spans="8:15" ht="15.75" customHeight="1">
      <c r="H772" s="17"/>
      <c r="K772" s="17"/>
      <c r="L772" s="2"/>
      <c r="M772" s="17"/>
      <c r="N772" s="17"/>
      <c r="O772" s="17"/>
    </row>
    <row r="773" spans="8:15" ht="15.75" customHeight="1">
      <c r="H773" s="17"/>
      <c r="K773" s="17"/>
      <c r="L773" s="2"/>
      <c r="M773" s="17"/>
      <c r="N773" s="17"/>
      <c r="O773" s="17"/>
    </row>
    <row r="774" spans="8:15" ht="15.75" customHeight="1">
      <c r="H774" s="17"/>
      <c r="K774" s="17"/>
      <c r="L774" s="2"/>
      <c r="M774" s="17"/>
      <c r="N774" s="17"/>
      <c r="O774" s="17"/>
    </row>
    <row r="775" spans="8:15" ht="15.75" customHeight="1">
      <c r="H775" s="17"/>
      <c r="K775" s="17"/>
      <c r="L775" s="2"/>
      <c r="M775" s="17"/>
      <c r="N775" s="17"/>
      <c r="O775" s="17"/>
    </row>
    <row r="776" spans="8:15" ht="15.75" customHeight="1">
      <c r="H776" s="17"/>
      <c r="K776" s="17"/>
      <c r="L776" s="2"/>
      <c r="M776" s="17"/>
      <c r="N776" s="17"/>
      <c r="O776" s="17"/>
    </row>
    <row r="777" spans="8:15" ht="15" customHeight="1">
      <c r="H777" s="17"/>
      <c r="K777" s="17"/>
      <c r="L777" s="2"/>
      <c r="M777" s="17"/>
      <c r="N777" s="17"/>
      <c r="O777" s="17"/>
    </row>
    <row r="778" spans="8:15" ht="15" customHeight="1">
      <c r="H778" s="17"/>
      <c r="K778" s="17"/>
      <c r="L778" s="2"/>
      <c r="M778" s="17"/>
      <c r="N778" s="17"/>
      <c r="O778" s="17"/>
    </row>
    <row r="779" spans="8:15" ht="15" customHeight="1">
      <c r="H779" s="17"/>
      <c r="K779" s="17"/>
      <c r="L779" s="2"/>
      <c r="M779" s="17"/>
      <c r="N779" s="17"/>
      <c r="O779" s="17"/>
    </row>
    <row r="780" spans="8:15" ht="15" customHeight="1">
      <c r="H780" s="17"/>
      <c r="K780" s="17"/>
      <c r="L780" s="2"/>
      <c r="M780" s="17"/>
      <c r="N780" s="17"/>
      <c r="O780" s="17"/>
    </row>
    <row r="781" spans="8:15" ht="15" customHeight="1">
      <c r="H781" s="17"/>
      <c r="K781" s="17"/>
      <c r="L781" s="2"/>
      <c r="M781" s="17"/>
      <c r="N781" s="17"/>
      <c r="O781" s="17"/>
    </row>
    <row r="782" spans="8:15" ht="15" customHeight="1">
      <c r="H782" s="17"/>
      <c r="K782" s="17"/>
      <c r="L782" s="2"/>
      <c r="M782" s="17"/>
      <c r="N782" s="17"/>
      <c r="O782" s="17"/>
    </row>
    <row r="783" spans="8:15" ht="15" customHeight="1">
      <c r="H783" s="17"/>
      <c r="K783" s="17"/>
      <c r="L783" s="2"/>
      <c r="M783" s="17"/>
      <c r="N783" s="17"/>
      <c r="O783" s="17"/>
    </row>
    <row r="784" spans="8:15" ht="15" customHeight="1">
      <c r="H784" s="17"/>
      <c r="K784" s="17"/>
      <c r="L784" s="2"/>
      <c r="M784" s="17"/>
      <c r="N784" s="17"/>
      <c r="O784" s="17"/>
    </row>
    <row r="785" spans="8:15" ht="15" customHeight="1">
      <c r="H785" s="17"/>
      <c r="K785" s="17"/>
      <c r="L785" s="2"/>
      <c r="M785" s="17"/>
      <c r="N785" s="17"/>
      <c r="O785" s="17"/>
    </row>
    <row r="786" spans="8:15" ht="15" customHeight="1">
      <c r="H786" s="17"/>
      <c r="K786" s="17"/>
      <c r="L786" s="2"/>
      <c r="M786" s="17"/>
      <c r="N786" s="17"/>
      <c r="O786" s="17"/>
    </row>
    <row r="787" spans="8:15" ht="15" customHeight="1">
      <c r="H787" s="17"/>
      <c r="K787" s="17"/>
      <c r="L787" s="2"/>
      <c r="M787" s="17"/>
      <c r="N787" s="17"/>
      <c r="O787" s="17"/>
    </row>
    <row r="788" spans="8:15" ht="15" customHeight="1">
      <c r="H788" s="17"/>
      <c r="K788" s="17"/>
      <c r="L788" s="2"/>
      <c r="M788" s="17"/>
      <c r="N788" s="17"/>
      <c r="O788" s="17"/>
    </row>
    <row r="789" spans="8:15" ht="15" customHeight="1">
      <c r="H789" s="17"/>
      <c r="K789" s="17"/>
      <c r="L789" s="2"/>
      <c r="M789" s="17"/>
      <c r="N789" s="17"/>
      <c r="O789" s="17"/>
    </row>
    <row r="790" spans="8:15" ht="15" customHeight="1">
      <c r="H790" s="17"/>
      <c r="K790" s="17"/>
      <c r="L790" s="2"/>
      <c r="M790" s="17"/>
      <c r="N790" s="17"/>
      <c r="O790" s="17"/>
    </row>
    <row r="791" spans="8:15" ht="15" customHeight="1">
      <c r="H791" s="17"/>
      <c r="K791" s="17"/>
      <c r="L791" s="2"/>
      <c r="M791" s="17"/>
      <c r="N791" s="17"/>
      <c r="O791" s="17"/>
    </row>
    <row r="792" spans="8:15" ht="15" customHeight="1">
      <c r="H792" s="17"/>
      <c r="K792" s="17"/>
      <c r="L792" s="2"/>
      <c r="M792" s="17"/>
      <c r="N792" s="17"/>
      <c r="O792" s="17"/>
    </row>
    <row r="793" spans="8:15" ht="15" customHeight="1">
      <c r="H793" s="17"/>
      <c r="K793" s="17"/>
      <c r="L793" s="2"/>
      <c r="M793" s="17"/>
      <c r="N793" s="17"/>
      <c r="O793" s="17"/>
    </row>
    <row r="794" spans="8:15" ht="15" customHeight="1">
      <c r="H794" s="17"/>
      <c r="K794" s="17"/>
      <c r="L794" s="2"/>
      <c r="M794" s="17"/>
      <c r="N794" s="17"/>
      <c r="O794" s="17"/>
    </row>
    <row r="795" spans="8:15" ht="15" customHeight="1">
      <c r="H795" s="17"/>
      <c r="K795" s="17"/>
      <c r="L795" s="2"/>
      <c r="M795" s="17"/>
      <c r="N795" s="17"/>
      <c r="O795" s="17"/>
    </row>
    <row r="796" spans="8:15" ht="15" customHeight="1">
      <c r="H796" s="17"/>
      <c r="K796" s="17"/>
      <c r="L796" s="2"/>
      <c r="M796" s="17"/>
      <c r="N796" s="17"/>
      <c r="O796" s="17"/>
    </row>
    <row r="797" spans="8:15" ht="15" customHeight="1">
      <c r="H797" s="17"/>
      <c r="K797" s="17"/>
      <c r="L797" s="2"/>
      <c r="M797" s="17"/>
      <c r="N797" s="17"/>
      <c r="O797" s="17"/>
    </row>
    <row r="798" spans="8:15" ht="15" customHeight="1">
      <c r="H798" s="17"/>
      <c r="K798" s="17"/>
      <c r="L798" s="2"/>
      <c r="M798" s="17"/>
      <c r="N798" s="17"/>
      <c r="O798" s="17"/>
    </row>
    <row r="799" spans="8:15" ht="15" customHeight="1">
      <c r="H799" s="17"/>
      <c r="K799" s="17"/>
      <c r="L799" s="2"/>
      <c r="M799" s="17"/>
      <c r="N799" s="17"/>
      <c r="O799" s="17"/>
    </row>
    <row r="800" spans="8:15" ht="15" customHeight="1">
      <c r="H800" s="17"/>
      <c r="K800" s="17"/>
      <c r="L800" s="2"/>
      <c r="M800" s="17"/>
      <c r="N800" s="17"/>
      <c r="O800" s="17"/>
    </row>
    <row r="801" spans="8:15" ht="15" customHeight="1">
      <c r="H801" s="17"/>
      <c r="K801" s="17"/>
      <c r="L801" s="2"/>
      <c r="M801" s="17"/>
      <c r="N801" s="17"/>
      <c r="O801" s="17"/>
    </row>
    <row r="802" spans="8:15" ht="15" customHeight="1">
      <c r="H802" s="17"/>
      <c r="K802" s="17"/>
      <c r="L802" s="2"/>
      <c r="M802" s="17"/>
      <c r="N802" s="17"/>
      <c r="O802" s="17"/>
    </row>
    <row r="803" spans="8:15" ht="15" customHeight="1">
      <c r="H803" s="17"/>
      <c r="K803" s="17"/>
      <c r="L803" s="2"/>
      <c r="M803" s="17"/>
      <c r="N803" s="17"/>
      <c r="O803" s="17"/>
    </row>
    <row r="804" spans="8:15" ht="15" customHeight="1">
      <c r="H804" s="17"/>
      <c r="K804" s="17"/>
      <c r="L804" s="2"/>
      <c r="M804" s="17"/>
      <c r="N804" s="17"/>
      <c r="O804" s="17"/>
    </row>
    <row r="805" spans="8:15" ht="15" customHeight="1">
      <c r="H805" s="17"/>
      <c r="K805" s="17"/>
      <c r="L805" s="2"/>
      <c r="M805" s="17"/>
      <c r="N805" s="17"/>
      <c r="O805" s="17"/>
    </row>
    <row r="806" spans="8:15" ht="15" customHeight="1">
      <c r="H806" s="17"/>
      <c r="K806" s="17"/>
      <c r="L806" s="2"/>
      <c r="M806" s="17"/>
      <c r="N806" s="17"/>
      <c r="O806" s="17"/>
    </row>
    <row r="807" spans="8:15" ht="15" customHeight="1">
      <c r="H807" s="17"/>
      <c r="K807" s="17"/>
      <c r="L807" s="2"/>
      <c r="M807" s="17"/>
      <c r="N807" s="17"/>
      <c r="O807" s="17"/>
    </row>
    <row r="808" spans="8:15">
      <c r="H808" s="17"/>
      <c r="K808" s="17"/>
      <c r="L808" s="2"/>
      <c r="M808" s="17"/>
      <c r="N808" s="17"/>
      <c r="O808" s="17"/>
    </row>
    <row r="809" spans="8:15">
      <c r="H809" s="17"/>
      <c r="K809" s="17"/>
      <c r="L809" s="2"/>
      <c r="M809" s="17"/>
      <c r="N809" s="17"/>
      <c r="O809" s="17"/>
    </row>
    <row r="810" spans="8:15">
      <c r="H810" s="17"/>
      <c r="K810" s="17"/>
      <c r="L810" s="2"/>
      <c r="M810" s="17"/>
      <c r="N810" s="17"/>
      <c r="O810" s="17"/>
    </row>
    <row r="811" spans="8:15">
      <c r="H811" s="17"/>
      <c r="K811" s="17"/>
      <c r="L811" s="2"/>
      <c r="M811" s="17"/>
      <c r="N811" s="17"/>
      <c r="O811" s="17"/>
    </row>
    <row r="812" spans="8:15">
      <c r="H812" s="17"/>
      <c r="K812" s="17"/>
      <c r="L812" s="2"/>
      <c r="M812" s="17"/>
      <c r="N812" s="17"/>
      <c r="O812" s="17"/>
    </row>
    <row r="813" spans="8:15">
      <c r="H813" s="17"/>
      <c r="K813" s="17"/>
      <c r="L813" s="2"/>
      <c r="M813" s="17"/>
      <c r="N813" s="17"/>
      <c r="O813" s="17"/>
    </row>
    <row r="814" spans="8:15">
      <c r="H814" s="17"/>
      <c r="K814" s="17"/>
      <c r="L814" s="2"/>
      <c r="M814" s="17"/>
      <c r="N814" s="17"/>
      <c r="O814" s="17"/>
    </row>
    <row r="815" spans="8:15">
      <c r="H815" s="17"/>
      <c r="K815" s="17"/>
      <c r="L815" s="2"/>
      <c r="M815" s="17"/>
      <c r="N815" s="17"/>
      <c r="O815" s="17"/>
    </row>
    <row r="816" spans="8:15">
      <c r="H816" s="17"/>
      <c r="K816" s="17"/>
      <c r="L816" s="2"/>
      <c r="M816" s="17"/>
      <c r="N816" s="17"/>
      <c r="O816" s="17"/>
    </row>
    <row r="817" spans="8:15">
      <c r="H817" s="17"/>
      <c r="K817" s="17"/>
      <c r="L817" s="2"/>
      <c r="M817" s="17"/>
      <c r="N817" s="17"/>
      <c r="O817" s="17"/>
    </row>
    <row r="818" spans="8:15">
      <c r="H818" s="17"/>
      <c r="K818" s="17"/>
      <c r="L818" s="2"/>
      <c r="M818" s="17"/>
      <c r="N818" s="17"/>
      <c r="O818" s="17"/>
    </row>
    <row r="819" spans="8:15">
      <c r="H819" s="17"/>
      <c r="K819" s="17"/>
      <c r="L819" s="2"/>
      <c r="M819" s="17"/>
      <c r="N819" s="17"/>
      <c r="O819" s="17"/>
    </row>
    <row r="820" spans="8:15">
      <c r="H820" s="17"/>
      <c r="K820" s="17"/>
      <c r="L820" s="2"/>
      <c r="M820" s="17"/>
      <c r="N820" s="17"/>
      <c r="O820" s="17"/>
    </row>
    <row r="821" spans="8:15">
      <c r="H821" s="17"/>
      <c r="K821" s="17"/>
      <c r="L821" s="2"/>
      <c r="M821" s="17"/>
      <c r="N821" s="17"/>
      <c r="O821" s="17"/>
    </row>
    <row r="822" spans="8:15">
      <c r="H822" s="17"/>
      <c r="K822" s="17"/>
      <c r="L822" s="2"/>
      <c r="M822" s="17"/>
      <c r="N822" s="17"/>
      <c r="O822" s="17"/>
    </row>
    <row r="823" spans="8:15">
      <c r="H823" s="17"/>
      <c r="K823" s="17"/>
      <c r="L823" s="2"/>
      <c r="M823" s="17"/>
      <c r="N823" s="17"/>
      <c r="O823" s="17"/>
    </row>
    <row r="824" spans="8:15">
      <c r="H824" s="17"/>
      <c r="K824" s="17"/>
      <c r="L824" s="2"/>
      <c r="M824" s="17"/>
      <c r="N824" s="17"/>
      <c r="O824" s="17"/>
    </row>
    <row r="825" spans="8:15">
      <c r="H825" s="17"/>
      <c r="K825" s="17"/>
      <c r="L825" s="2"/>
      <c r="M825" s="17"/>
      <c r="N825" s="17"/>
      <c r="O825" s="17"/>
    </row>
    <row r="826" spans="8:15">
      <c r="H826" s="17"/>
      <c r="K826" s="17"/>
      <c r="L826" s="2"/>
      <c r="M826" s="17"/>
      <c r="N826" s="17"/>
      <c r="O826" s="17"/>
    </row>
    <row r="827" spans="8:15">
      <c r="H827" s="17"/>
      <c r="K827" s="17"/>
      <c r="L827" s="2"/>
      <c r="M827" s="17"/>
      <c r="N827" s="17"/>
      <c r="O827" s="17"/>
    </row>
    <row r="828" spans="8:15">
      <c r="H828" s="17"/>
      <c r="K828" s="17"/>
      <c r="L828" s="2"/>
      <c r="M828" s="17"/>
      <c r="N828" s="17"/>
      <c r="O828" s="17"/>
    </row>
    <row r="829" spans="8:15">
      <c r="H829" s="17"/>
      <c r="K829" s="17"/>
      <c r="L829" s="2"/>
      <c r="M829" s="17"/>
      <c r="N829" s="17"/>
      <c r="O829" s="17"/>
    </row>
    <row r="830" spans="8:15">
      <c r="H830" s="17"/>
      <c r="K830" s="17"/>
      <c r="L830" s="2"/>
      <c r="M830" s="17"/>
      <c r="N830" s="17"/>
      <c r="O830" s="17"/>
    </row>
    <row r="831" spans="8:15">
      <c r="H831" s="17"/>
      <c r="K831" s="17"/>
      <c r="L831" s="2"/>
      <c r="M831" s="17"/>
      <c r="N831" s="17"/>
      <c r="O831" s="17"/>
    </row>
    <row r="832" spans="8:15">
      <c r="H832" s="17"/>
      <c r="K832" s="17"/>
      <c r="L832" s="2"/>
      <c r="M832" s="17"/>
      <c r="N832" s="17"/>
      <c r="O832" s="17"/>
    </row>
    <row r="833" spans="8:15">
      <c r="H833" s="17"/>
      <c r="K833" s="17"/>
      <c r="L833" s="2"/>
      <c r="M833" s="17"/>
      <c r="N833" s="17"/>
      <c r="O833" s="17"/>
    </row>
    <row r="834" spans="8:15">
      <c r="H834" s="17"/>
      <c r="K834" s="17"/>
      <c r="L834" s="2"/>
      <c r="M834" s="17"/>
      <c r="N834" s="17"/>
      <c r="O834" s="17"/>
    </row>
    <row r="835" spans="8:15">
      <c r="H835" s="17"/>
      <c r="K835" s="17"/>
      <c r="L835" s="2"/>
      <c r="M835" s="17"/>
      <c r="N835" s="17"/>
      <c r="O835" s="17"/>
    </row>
    <row r="836" spans="8:15">
      <c r="H836" s="17"/>
      <c r="K836" s="17"/>
      <c r="L836" s="2"/>
      <c r="M836" s="17"/>
      <c r="N836" s="17"/>
      <c r="O836" s="17"/>
    </row>
    <row r="837" spans="8:15">
      <c r="H837" s="17"/>
      <c r="K837" s="17"/>
      <c r="L837" s="2"/>
      <c r="M837" s="17"/>
      <c r="N837" s="17"/>
      <c r="O837" s="17"/>
    </row>
    <row r="838" spans="8:15">
      <c r="H838" s="17"/>
      <c r="K838" s="17"/>
      <c r="L838" s="2"/>
      <c r="M838" s="17"/>
      <c r="N838" s="17"/>
      <c r="O838" s="17"/>
    </row>
    <row r="839" spans="8:15">
      <c r="H839" s="17"/>
      <c r="K839" s="17"/>
      <c r="L839" s="2"/>
      <c r="M839" s="17"/>
      <c r="N839" s="17"/>
      <c r="O839" s="17"/>
    </row>
    <row r="840" spans="8:15">
      <c r="H840" s="17"/>
      <c r="K840" s="17"/>
      <c r="L840" s="2"/>
      <c r="M840" s="17"/>
      <c r="N840" s="17"/>
      <c r="O840" s="17"/>
    </row>
    <row r="841" spans="8:15">
      <c r="H841" s="17"/>
      <c r="K841" s="17"/>
      <c r="L841" s="2"/>
      <c r="M841" s="17"/>
      <c r="N841" s="17"/>
      <c r="O841" s="17"/>
    </row>
    <row r="842" spans="8:15">
      <c r="H842" s="17"/>
      <c r="K842" s="17"/>
      <c r="L842" s="2"/>
      <c r="M842" s="17"/>
      <c r="N842" s="17"/>
      <c r="O842" s="17"/>
    </row>
    <row r="843" spans="8:15">
      <c r="H843" s="17"/>
      <c r="K843" s="17"/>
      <c r="L843" s="2"/>
      <c r="M843" s="17"/>
      <c r="N843" s="17"/>
      <c r="O843" s="17"/>
    </row>
    <row r="844" spans="8:15">
      <c r="H844" s="17"/>
      <c r="K844" s="17"/>
      <c r="L844" s="2"/>
      <c r="M844" s="17"/>
      <c r="N844" s="17"/>
      <c r="O844" s="17"/>
    </row>
    <row r="845" spans="8:15">
      <c r="H845" s="17"/>
      <c r="K845" s="17"/>
      <c r="L845" s="2"/>
      <c r="M845" s="17"/>
      <c r="N845" s="17"/>
      <c r="O845" s="17"/>
    </row>
    <row r="846" spans="8:15">
      <c r="H846" s="17"/>
      <c r="K846" s="17"/>
      <c r="L846" s="2"/>
      <c r="M846" s="17"/>
      <c r="N846" s="17"/>
      <c r="O846" s="17"/>
    </row>
    <row r="847" spans="8:15">
      <c r="H847" s="17"/>
      <c r="K847" s="17"/>
      <c r="L847" s="2"/>
      <c r="M847" s="17"/>
      <c r="N847" s="17"/>
      <c r="O847" s="17"/>
    </row>
    <row r="848" spans="8:15">
      <c r="H848" s="17"/>
      <c r="K848" s="17"/>
      <c r="L848" s="2"/>
      <c r="M848" s="17"/>
      <c r="N848" s="17"/>
      <c r="O848" s="17"/>
    </row>
    <row r="849" spans="8:15">
      <c r="H849" s="17"/>
      <c r="K849" s="17"/>
      <c r="L849" s="2"/>
      <c r="M849" s="17"/>
      <c r="N849" s="17"/>
      <c r="O849" s="17"/>
    </row>
    <row r="850" spans="8:15">
      <c r="H850" s="17"/>
      <c r="K850" s="17"/>
      <c r="L850" s="2"/>
      <c r="M850" s="17"/>
      <c r="N850" s="17"/>
      <c r="O850" s="17"/>
    </row>
    <row r="851" spans="8:15">
      <c r="H851" s="17"/>
      <c r="K851" s="17"/>
      <c r="L851" s="2"/>
      <c r="M851" s="17"/>
      <c r="N851" s="17"/>
      <c r="O851" s="17"/>
    </row>
    <row r="852" spans="8:15">
      <c r="H852" s="17"/>
      <c r="K852" s="17"/>
      <c r="L852" s="2"/>
      <c r="M852" s="17"/>
      <c r="N852" s="17"/>
      <c r="O852" s="17"/>
    </row>
    <row r="853" spans="8:15">
      <c r="H853" s="17"/>
      <c r="K853" s="17"/>
      <c r="L853" s="2"/>
      <c r="M853" s="17"/>
      <c r="N853" s="17"/>
      <c r="O853" s="17"/>
    </row>
    <row r="854" spans="8:15">
      <c r="H854" s="17"/>
      <c r="K854" s="17"/>
      <c r="L854" s="2"/>
      <c r="M854" s="17"/>
      <c r="N854" s="17"/>
      <c r="O854" s="17"/>
    </row>
    <row r="855" spans="8:15">
      <c r="H855" s="17"/>
      <c r="K855" s="17"/>
      <c r="L855" s="2"/>
      <c r="M855" s="17"/>
      <c r="N855" s="17"/>
      <c r="O855" s="17"/>
    </row>
    <row r="856" spans="8:15">
      <c r="H856" s="17"/>
      <c r="K856" s="17"/>
      <c r="L856" s="2"/>
      <c r="M856" s="17"/>
      <c r="N856" s="17"/>
      <c r="O856" s="17"/>
    </row>
    <row r="857" spans="8:15">
      <c r="H857" s="17"/>
      <c r="K857" s="17"/>
      <c r="L857" s="2"/>
      <c r="M857" s="17"/>
      <c r="N857" s="17"/>
      <c r="O857" s="17"/>
    </row>
    <row r="858" spans="8:15">
      <c r="H858" s="17"/>
      <c r="K858" s="17"/>
      <c r="L858" s="2"/>
      <c r="M858" s="17"/>
      <c r="N858" s="17"/>
      <c r="O858" s="17"/>
    </row>
    <row r="859" spans="8:15">
      <c r="H859" s="17"/>
      <c r="K859" s="17"/>
      <c r="L859" s="2"/>
      <c r="M859" s="17"/>
      <c r="N859" s="17"/>
      <c r="O859" s="17"/>
    </row>
    <row r="860" spans="8:15">
      <c r="H860" s="17"/>
      <c r="K860" s="17"/>
      <c r="L860" s="2"/>
      <c r="M860" s="17"/>
      <c r="N860" s="17"/>
      <c r="O860" s="17"/>
    </row>
    <row r="861" spans="8:15">
      <c r="H861" s="17"/>
      <c r="K861" s="17"/>
      <c r="L861" s="2"/>
      <c r="M861" s="17"/>
      <c r="N861" s="17"/>
      <c r="O861" s="17"/>
    </row>
    <row r="862" spans="8:15">
      <c r="H862" s="17"/>
      <c r="K862" s="17"/>
      <c r="L862" s="2"/>
      <c r="M862" s="17"/>
      <c r="N862" s="17"/>
      <c r="O862" s="17"/>
    </row>
    <row r="863" spans="8:15">
      <c r="H863" s="17"/>
      <c r="K863" s="17"/>
      <c r="L863" s="2"/>
      <c r="M863" s="17"/>
      <c r="N863" s="17"/>
      <c r="O863" s="17"/>
    </row>
    <row r="864" spans="8:15">
      <c r="H864" s="17"/>
      <c r="K864" s="17"/>
      <c r="L864" s="2"/>
      <c r="M864" s="17"/>
      <c r="N864" s="17"/>
      <c r="O864" s="17"/>
    </row>
    <row r="865" spans="8:15">
      <c r="H865" s="17"/>
      <c r="K865" s="17"/>
      <c r="L865" s="2"/>
      <c r="M865" s="17"/>
      <c r="N865" s="17"/>
      <c r="O865" s="17"/>
    </row>
    <row r="866" spans="8:15">
      <c r="H866" s="17"/>
      <c r="K866" s="17"/>
      <c r="L866" s="2"/>
      <c r="M866" s="17"/>
      <c r="N866" s="17"/>
      <c r="O866" s="17"/>
    </row>
    <row r="867" spans="8:15">
      <c r="H867" s="17"/>
      <c r="K867" s="17"/>
      <c r="L867" s="2"/>
      <c r="M867" s="17"/>
      <c r="N867" s="17"/>
      <c r="O867" s="17"/>
    </row>
    <row r="868" spans="8:15">
      <c r="H868" s="17"/>
      <c r="K868" s="17"/>
      <c r="L868" s="2"/>
      <c r="M868" s="17"/>
      <c r="N868" s="17"/>
      <c r="O868" s="17"/>
    </row>
    <row r="869" spans="8:15">
      <c r="H869" s="17"/>
      <c r="K869" s="17"/>
      <c r="L869" s="2"/>
      <c r="M869" s="17"/>
      <c r="N869" s="17"/>
      <c r="O869" s="17"/>
    </row>
    <row r="870" spans="8:15">
      <c r="H870" s="17"/>
      <c r="K870" s="17"/>
      <c r="L870" s="2"/>
      <c r="M870" s="17"/>
      <c r="N870" s="17"/>
      <c r="O870" s="17"/>
    </row>
    <row r="871" spans="8:15">
      <c r="H871" s="17"/>
      <c r="K871" s="17"/>
      <c r="L871" s="2"/>
      <c r="M871" s="17"/>
      <c r="N871" s="17"/>
      <c r="O871" s="17"/>
    </row>
    <row r="872" spans="8:15">
      <c r="H872" s="17"/>
      <c r="K872" s="17"/>
      <c r="L872" s="2"/>
      <c r="M872" s="17"/>
      <c r="N872" s="17"/>
      <c r="O872" s="17"/>
    </row>
    <row r="873" spans="8:15">
      <c r="H873" s="17"/>
      <c r="K873" s="17"/>
      <c r="L873" s="2"/>
      <c r="M873" s="17"/>
      <c r="N873" s="17"/>
      <c r="O873" s="17"/>
    </row>
    <row r="874" spans="8:15">
      <c r="H874" s="17"/>
      <c r="K874" s="17"/>
      <c r="L874" s="2"/>
      <c r="M874" s="17"/>
      <c r="N874" s="17"/>
      <c r="O874" s="17"/>
    </row>
    <row r="875" spans="8:15">
      <c r="H875" s="17"/>
      <c r="K875" s="17"/>
      <c r="L875" s="2"/>
      <c r="M875" s="17"/>
      <c r="N875" s="17"/>
      <c r="O875" s="17"/>
    </row>
    <row r="876" spans="8:15">
      <c r="H876" s="17"/>
      <c r="K876" s="17"/>
      <c r="L876" s="2"/>
      <c r="M876" s="17"/>
      <c r="N876" s="17"/>
      <c r="O876" s="17"/>
    </row>
    <row r="877" spans="8:15">
      <c r="H877" s="17"/>
      <c r="K877" s="17"/>
      <c r="L877" s="2"/>
      <c r="M877" s="17"/>
      <c r="N877" s="17"/>
      <c r="O877" s="17"/>
    </row>
    <row r="878" spans="8:15">
      <c r="H878" s="17"/>
      <c r="K878" s="17"/>
      <c r="L878" s="2"/>
      <c r="M878" s="17"/>
      <c r="N878" s="17"/>
      <c r="O878" s="17"/>
    </row>
    <row r="879" spans="8:15">
      <c r="H879" s="17"/>
      <c r="K879" s="17"/>
      <c r="L879" s="2"/>
      <c r="M879" s="17"/>
      <c r="N879" s="17"/>
      <c r="O879" s="17"/>
    </row>
    <row r="880" spans="8:15">
      <c r="H880" s="17"/>
      <c r="K880" s="17"/>
      <c r="L880" s="2"/>
      <c r="M880" s="17"/>
      <c r="N880" s="17"/>
      <c r="O880" s="17"/>
    </row>
    <row r="881" spans="8:15">
      <c r="H881" s="17"/>
      <c r="K881" s="17"/>
      <c r="L881" s="2"/>
      <c r="M881" s="17"/>
      <c r="N881" s="17"/>
      <c r="O881" s="17"/>
    </row>
    <row r="882" spans="8:15">
      <c r="H882" s="17"/>
      <c r="K882" s="17"/>
      <c r="L882" s="2"/>
      <c r="M882" s="17"/>
      <c r="N882" s="17"/>
      <c r="O882" s="17"/>
    </row>
    <row r="883" spans="8:15">
      <c r="H883" s="17"/>
      <c r="K883" s="17"/>
      <c r="L883" s="2"/>
      <c r="M883" s="17"/>
      <c r="N883" s="17"/>
      <c r="O883" s="17"/>
    </row>
    <row r="884" spans="8:15">
      <c r="H884" s="17"/>
      <c r="K884" s="17"/>
      <c r="L884" s="2"/>
      <c r="M884" s="17"/>
      <c r="N884" s="17"/>
      <c r="O884" s="17"/>
    </row>
    <row r="885" spans="8:15">
      <c r="H885" s="17"/>
      <c r="K885" s="17"/>
      <c r="L885" s="2"/>
      <c r="M885" s="17"/>
      <c r="N885" s="17"/>
      <c r="O885" s="17"/>
    </row>
    <row r="886" spans="8:15">
      <c r="H886" s="17"/>
      <c r="K886" s="17"/>
      <c r="L886" s="2"/>
      <c r="M886" s="17"/>
      <c r="N886" s="17"/>
      <c r="O886" s="17"/>
    </row>
    <row r="887" spans="8:15" ht="15" customHeight="1">
      <c r="H887" s="17"/>
      <c r="K887" s="17"/>
      <c r="L887" s="2"/>
      <c r="M887" s="17"/>
      <c r="N887" s="17"/>
    </row>
    <row r="888" spans="8:15" ht="15" customHeight="1">
      <c r="H888" s="17"/>
      <c r="K888" s="17"/>
      <c r="L888" s="2"/>
      <c r="M888" s="17"/>
      <c r="N888" s="17"/>
    </row>
    <row r="889" spans="8:15" ht="15" customHeight="1">
      <c r="H889" s="17"/>
      <c r="K889" s="17"/>
      <c r="L889" s="2"/>
      <c r="M889" s="17"/>
      <c r="N889" s="17"/>
    </row>
    <row r="890" spans="8:15" ht="15" customHeight="1">
      <c r="H890" s="17"/>
      <c r="K890" s="17"/>
      <c r="L890" s="2"/>
      <c r="M890" s="17"/>
      <c r="N890" s="17"/>
    </row>
    <row r="891" spans="8:15" ht="15" customHeight="1">
      <c r="H891" s="17"/>
      <c r="K891" s="17"/>
      <c r="L891" s="2"/>
      <c r="M891" s="17"/>
      <c r="N891" s="17"/>
    </row>
    <row r="892" spans="8:15" ht="15" customHeight="1">
      <c r="H892" s="17"/>
      <c r="K892" s="17"/>
      <c r="L892" s="2"/>
      <c r="M892" s="17"/>
      <c r="N892" s="17"/>
    </row>
    <row r="893" spans="8:15" ht="15" customHeight="1">
      <c r="H893" s="17"/>
      <c r="K893" s="17"/>
      <c r="L893" s="2"/>
      <c r="M893" s="17"/>
      <c r="N893" s="17"/>
    </row>
    <row r="894" spans="8:15" ht="15" customHeight="1">
      <c r="H894" s="17"/>
      <c r="K894" s="17"/>
      <c r="L894" s="2"/>
      <c r="M894" s="17"/>
      <c r="N894" s="17"/>
    </row>
    <row r="895" spans="8:15" ht="15" customHeight="1">
      <c r="H895" s="17"/>
      <c r="K895" s="17"/>
      <c r="L895" s="2"/>
      <c r="M895" s="17"/>
      <c r="N895" s="17"/>
    </row>
    <row r="896" spans="8:15" ht="15" customHeight="1">
      <c r="H896" s="17"/>
      <c r="K896" s="17"/>
      <c r="L896" s="2"/>
      <c r="M896" s="17"/>
      <c r="N896" s="17"/>
    </row>
    <row r="897" spans="8:14" ht="15" customHeight="1">
      <c r="H897" s="17"/>
      <c r="K897" s="17"/>
      <c r="L897" s="2"/>
      <c r="M897" s="17"/>
      <c r="N897" s="17"/>
    </row>
    <row r="898" spans="8:14" ht="15" customHeight="1">
      <c r="H898" s="17"/>
      <c r="K898" s="17"/>
      <c r="L898" s="2"/>
      <c r="M898" s="17"/>
      <c r="N898" s="17"/>
    </row>
    <row r="899" spans="8:14" ht="15" customHeight="1">
      <c r="H899" s="17"/>
      <c r="K899" s="17"/>
      <c r="L899" s="2"/>
      <c r="M899" s="17"/>
      <c r="N899" s="17"/>
    </row>
    <row r="900" spans="8:14" ht="15" customHeight="1">
      <c r="H900" s="17"/>
      <c r="K900" s="17"/>
      <c r="L900" s="2"/>
      <c r="M900" s="17"/>
      <c r="N900" s="17"/>
    </row>
    <row r="901" spans="8:14" ht="15" customHeight="1">
      <c r="H901" s="17"/>
      <c r="K901" s="17"/>
      <c r="L901" s="2"/>
      <c r="M901" s="17"/>
      <c r="N901" s="17"/>
    </row>
    <row r="902" spans="8:14" ht="15" customHeight="1">
      <c r="H902" s="17"/>
      <c r="K902" s="17"/>
      <c r="L902" s="2"/>
      <c r="M902" s="17"/>
      <c r="N902" s="17"/>
    </row>
    <row r="903" spans="8:14" ht="15" customHeight="1">
      <c r="H903" s="17"/>
      <c r="K903" s="17"/>
      <c r="L903" s="2"/>
      <c r="M903" s="17"/>
      <c r="N903" s="17"/>
    </row>
    <row r="904" spans="8:14" ht="15" customHeight="1">
      <c r="H904" s="17"/>
      <c r="K904" s="17"/>
      <c r="L904" s="2"/>
      <c r="M904" s="17"/>
      <c r="N904" s="17"/>
    </row>
    <row r="905" spans="8:14" ht="15" customHeight="1">
      <c r="H905" s="17"/>
      <c r="K905" s="17"/>
      <c r="L905" s="2"/>
      <c r="M905" s="17"/>
      <c r="N905" s="17"/>
    </row>
    <row r="906" spans="8:14" ht="15" customHeight="1">
      <c r="H906" s="17"/>
      <c r="K906" s="17"/>
      <c r="L906" s="2"/>
      <c r="M906" s="17"/>
      <c r="N906" s="17"/>
    </row>
    <row r="907" spans="8:14" ht="15" customHeight="1">
      <c r="H907" s="17"/>
      <c r="K907" s="17"/>
      <c r="L907" s="2"/>
      <c r="M907" s="17"/>
      <c r="N907" s="17"/>
    </row>
    <row r="908" spans="8:14" ht="15" customHeight="1">
      <c r="H908" s="17"/>
      <c r="K908" s="17"/>
      <c r="L908" s="2"/>
      <c r="M908" s="17"/>
      <c r="N908" s="17"/>
    </row>
    <row r="909" spans="8:14" ht="15" customHeight="1">
      <c r="H909" s="17"/>
      <c r="K909" s="17"/>
      <c r="L909" s="2"/>
      <c r="M909" s="17"/>
      <c r="N909" s="17"/>
    </row>
    <row r="910" spans="8:14" ht="15" customHeight="1">
      <c r="H910" s="17"/>
      <c r="K910" s="17"/>
      <c r="L910" s="2"/>
      <c r="M910" s="17"/>
      <c r="N910" s="17"/>
    </row>
    <row r="911" spans="8:14" ht="15" customHeight="1">
      <c r="H911" s="17"/>
      <c r="K911" s="17"/>
      <c r="L911" s="2"/>
      <c r="M911" s="17"/>
      <c r="N911" s="17"/>
    </row>
    <row r="912" spans="8:14" ht="15" customHeight="1">
      <c r="H912" s="17"/>
      <c r="K912" s="17"/>
      <c r="L912" s="2"/>
      <c r="M912" s="17"/>
      <c r="N912" s="17"/>
    </row>
    <row r="913" spans="8:14" ht="15" customHeight="1">
      <c r="H913" s="17"/>
      <c r="K913" s="17"/>
      <c r="L913" s="2"/>
      <c r="M913" s="17"/>
      <c r="N913" s="17"/>
    </row>
    <row r="914" spans="8:14" ht="15" customHeight="1">
      <c r="H914" s="17"/>
      <c r="K914" s="17"/>
      <c r="L914" s="2"/>
      <c r="M914" s="17"/>
      <c r="N914" s="17"/>
    </row>
    <row r="915" spans="8:14" ht="15" customHeight="1">
      <c r="H915" s="17"/>
      <c r="K915" s="17"/>
      <c r="L915" s="2"/>
      <c r="M915" s="17"/>
      <c r="N915" s="17"/>
    </row>
    <row r="916" spans="8:14" ht="15" customHeight="1">
      <c r="H916" s="17"/>
      <c r="K916" s="17"/>
      <c r="L916" s="2"/>
      <c r="M916" s="17"/>
      <c r="N916" s="17"/>
    </row>
    <row r="917" spans="8:14" ht="15" customHeight="1">
      <c r="H917" s="17"/>
      <c r="K917" s="17"/>
      <c r="L917" s="2"/>
      <c r="M917" s="17"/>
      <c r="N917" s="17"/>
    </row>
    <row r="918" spans="8:14" ht="15" customHeight="1">
      <c r="H918" s="17"/>
      <c r="K918" s="17"/>
      <c r="L918" s="2"/>
      <c r="M918" s="17"/>
      <c r="N918" s="17"/>
    </row>
    <row r="919" spans="8:14" ht="15" customHeight="1">
      <c r="H919" s="17"/>
      <c r="K919" s="17"/>
      <c r="L919" s="2"/>
      <c r="M919" s="17"/>
      <c r="N919" s="17"/>
    </row>
    <row r="920" spans="8:14" ht="15" customHeight="1">
      <c r="H920" s="17"/>
      <c r="K920" s="17"/>
      <c r="L920" s="2"/>
      <c r="M920" s="17"/>
      <c r="N920" s="17"/>
    </row>
    <row r="921" spans="8:14" ht="15" customHeight="1">
      <c r="H921" s="17"/>
      <c r="K921" s="17"/>
      <c r="L921" s="2"/>
      <c r="M921" s="17"/>
      <c r="N921" s="17"/>
    </row>
    <row r="922" spans="8:14" ht="15" customHeight="1">
      <c r="H922" s="17"/>
      <c r="K922" s="17"/>
      <c r="L922" s="2"/>
      <c r="M922" s="17"/>
      <c r="N922" s="17"/>
    </row>
    <row r="923" spans="8:14" ht="15" customHeight="1">
      <c r="H923" s="17"/>
      <c r="K923" s="17"/>
      <c r="L923" s="2"/>
      <c r="M923" s="17"/>
      <c r="N923" s="17"/>
    </row>
    <row r="924" spans="8:14" ht="15" customHeight="1">
      <c r="H924" s="17"/>
      <c r="K924" s="17"/>
      <c r="L924" s="2"/>
      <c r="M924" s="17"/>
      <c r="N924" s="17"/>
    </row>
    <row r="925" spans="8:14" ht="15" customHeight="1">
      <c r="H925" s="17"/>
      <c r="K925" s="17"/>
      <c r="L925" s="2"/>
      <c r="M925" s="17"/>
      <c r="N925" s="17"/>
    </row>
    <row r="926" spans="8:14" ht="15" customHeight="1">
      <c r="H926" s="17"/>
      <c r="K926" s="17"/>
      <c r="L926" s="2"/>
      <c r="M926" s="17"/>
      <c r="N926" s="17"/>
    </row>
    <row r="927" spans="8:14" ht="15" customHeight="1">
      <c r="H927" s="17"/>
      <c r="K927" s="17"/>
      <c r="L927" s="2"/>
      <c r="M927" s="17"/>
      <c r="N927" s="17"/>
    </row>
    <row r="928" spans="8:14" ht="15" customHeight="1">
      <c r="H928" s="17"/>
      <c r="K928" s="17"/>
      <c r="L928" s="2"/>
      <c r="M928" s="17"/>
      <c r="N928" s="17"/>
    </row>
    <row r="929" spans="8:14" ht="15" customHeight="1">
      <c r="H929" s="17"/>
      <c r="K929" s="17"/>
      <c r="L929" s="2"/>
      <c r="M929" s="17"/>
      <c r="N929" s="17"/>
    </row>
    <row r="930" spans="8:14" ht="15" customHeight="1">
      <c r="H930" s="17"/>
      <c r="K930" s="17"/>
      <c r="L930" s="2"/>
      <c r="M930" s="17"/>
      <c r="N930" s="17"/>
    </row>
    <row r="931" spans="8:14" ht="15" customHeight="1">
      <c r="H931" s="17"/>
      <c r="K931" s="17"/>
      <c r="L931" s="2"/>
      <c r="M931" s="17"/>
      <c r="N931" s="17"/>
    </row>
    <row r="932" spans="8:14" ht="15" customHeight="1">
      <c r="H932" s="17"/>
      <c r="K932" s="17"/>
      <c r="L932" s="2"/>
      <c r="M932" s="17"/>
      <c r="N932" s="17"/>
    </row>
    <row r="933" spans="8:14" ht="15" customHeight="1">
      <c r="H933" s="17"/>
      <c r="K933" s="17"/>
      <c r="L933" s="2"/>
      <c r="M933" s="17"/>
      <c r="N933" s="17"/>
    </row>
    <row r="934" spans="8:14" ht="15" customHeight="1">
      <c r="H934" s="17"/>
      <c r="K934" s="17"/>
      <c r="L934" s="2"/>
      <c r="M934" s="17"/>
      <c r="N934" s="17"/>
    </row>
    <row r="935" spans="8:14" ht="15" customHeight="1">
      <c r="H935" s="17"/>
      <c r="K935" s="17"/>
      <c r="L935" s="2"/>
      <c r="M935" s="17"/>
      <c r="N935" s="17"/>
    </row>
    <row r="936" spans="8:14" ht="15" customHeight="1">
      <c r="H936" s="17"/>
      <c r="K936" s="17"/>
      <c r="L936" s="2"/>
      <c r="M936" s="17"/>
      <c r="N936" s="17"/>
    </row>
    <row r="937" spans="8:14" ht="15" customHeight="1">
      <c r="H937" s="17"/>
      <c r="K937" s="17"/>
      <c r="L937" s="2"/>
      <c r="M937" s="17"/>
      <c r="N937" s="17"/>
    </row>
    <row r="938" spans="8:14" ht="15" customHeight="1">
      <c r="H938" s="17"/>
      <c r="K938" s="17"/>
      <c r="L938" s="2"/>
      <c r="M938" s="17"/>
      <c r="N938" s="17"/>
    </row>
    <row r="939" spans="8:14" ht="15" customHeight="1">
      <c r="H939" s="17"/>
      <c r="K939" s="17"/>
      <c r="L939" s="2"/>
      <c r="M939" s="17"/>
      <c r="N939" s="17"/>
    </row>
    <row r="940" spans="8:14" ht="15" customHeight="1">
      <c r="H940" s="17"/>
      <c r="K940" s="17"/>
      <c r="L940" s="2"/>
      <c r="M940" s="17"/>
      <c r="N940" s="17"/>
    </row>
    <row r="941" spans="8:14" ht="15" customHeight="1">
      <c r="H941" s="17"/>
      <c r="K941" s="17"/>
      <c r="L941" s="2"/>
      <c r="M941" s="17"/>
      <c r="N941" s="17"/>
    </row>
    <row r="942" spans="8:14" ht="15" customHeight="1">
      <c r="H942" s="17"/>
      <c r="K942" s="17"/>
      <c r="L942" s="2"/>
      <c r="M942" s="17"/>
      <c r="N942" s="17"/>
    </row>
    <row r="943" spans="8:14" ht="15" customHeight="1">
      <c r="H943" s="17"/>
      <c r="K943" s="17"/>
      <c r="L943" s="2"/>
      <c r="M943" s="17"/>
      <c r="N943" s="17"/>
    </row>
    <row r="944" spans="8:14" ht="15" customHeight="1">
      <c r="H944" s="17"/>
      <c r="K944" s="17"/>
      <c r="L944" s="2"/>
      <c r="M944" s="17"/>
      <c r="N944" s="17"/>
    </row>
    <row r="945" spans="8:14" ht="15" customHeight="1">
      <c r="H945" s="17"/>
      <c r="K945" s="17"/>
      <c r="L945" s="2"/>
      <c r="M945" s="17"/>
      <c r="N945" s="17"/>
    </row>
    <row r="946" spans="8:14" ht="15" customHeight="1">
      <c r="H946" s="17"/>
      <c r="K946" s="17"/>
      <c r="L946" s="2"/>
      <c r="M946" s="17"/>
      <c r="N946" s="17"/>
    </row>
    <row r="947" spans="8:14" ht="15" customHeight="1">
      <c r="H947" s="17"/>
      <c r="K947" s="17"/>
      <c r="L947" s="2"/>
      <c r="M947" s="17"/>
      <c r="N947" s="17"/>
    </row>
    <row r="948" spans="8:14" ht="15" customHeight="1">
      <c r="H948" s="17"/>
      <c r="K948" s="17"/>
      <c r="L948" s="2"/>
      <c r="M948" s="17"/>
      <c r="N948" s="17"/>
    </row>
    <row r="949" spans="8:14" ht="15" customHeight="1">
      <c r="H949" s="17"/>
      <c r="K949" s="17"/>
      <c r="L949" s="2"/>
      <c r="M949" s="17"/>
      <c r="N949" s="17"/>
    </row>
    <row r="950" spans="8:14" ht="15" customHeight="1">
      <c r="H950" s="17"/>
      <c r="K950" s="17"/>
      <c r="L950" s="2"/>
      <c r="M950" s="17"/>
      <c r="N950" s="17"/>
    </row>
    <row r="951" spans="8:14" ht="15" customHeight="1">
      <c r="H951" s="17"/>
      <c r="K951" s="17"/>
      <c r="L951" s="2"/>
      <c r="M951" s="17"/>
      <c r="N951" s="17"/>
    </row>
    <row r="952" spans="8:14" ht="15" customHeight="1">
      <c r="H952" s="17"/>
      <c r="K952" s="17"/>
      <c r="L952" s="2"/>
      <c r="M952" s="17"/>
      <c r="N952" s="17"/>
    </row>
    <row r="953" spans="8:14" ht="15" customHeight="1">
      <c r="H953" s="17"/>
      <c r="K953" s="17"/>
      <c r="L953" s="2"/>
      <c r="M953" s="17"/>
      <c r="N953" s="17"/>
    </row>
    <row r="954" spans="8:14" ht="15" customHeight="1">
      <c r="H954" s="17"/>
      <c r="K954" s="17"/>
      <c r="L954" s="2"/>
      <c r="M954" s="17"/>
      <c r="N954" s="17"/>
    </row>
    <row r="955" spans="8:14" ht="15" customHeight="1">
      <c r="H955" s="17"/>
      <c r="K955" s="17"/>
      <c r="L955" s="2"/>
      <c r="M955" s="17"/>
      <c r="N955" s="17"/>
    </row>
    <row r="956" spans="8:14" ht="15" customHeight="1">
      <c r="H956" s="17"/>
      <c r="K956" s="17"/>
      <c r="L956" s="2"/>
      <c r="M956" s="17"/>
      <c r="N956" s="17"/>
    </row>
    <row r="957" spans="8:14" ht="15" customHeight="1">
      <c r="H957" s="17"/>
      <c r="K957" s="17"/>
      <c r="L957" s="2"/>
      <c r="M957" s="17"/>
      <c r="N957" s="17"/>
    </row>
    <row r="958" spans="8:14" ht="15" customHeight="1">
      <c r="H958" s="17"/>
      <c r="K958" s="17"/>
      <c r="L958" s="2"/>
      <c r="M958" s="17"/>
      <c r="N958" s="17"/>
    </row>
    <row r="959" spans="8:14" ht="15" customHeight="1">
      <c r="H959" s="17"/>
      <c r="K959" s="17"/>
      <c r="L959" s="2"/>
      <c r="M959" s="17"/>
      <c r="N959" s="17"/>
    </row>
    <row r="960" spans="8:14" ht="15" customHeight="1">
      <c r="M960" s="17"/>
      <c r="N960" s="17"/>
    </row>
    <row r="961" spans="13:14" ht="15" customHeight="1">
      <c r="M961" s="17"/>
      <c r="N961" s="17"/>
    </row>
    <row r="962" spans="13:14" ht="15" customHeight="1">
      <c r="M962" s="17"/>
      <c r="N962" s="17"/>
    </row>
    <row r="963" spans="13:14" ht="15" customHeight="1">
      <c r="M963" s="17"/>
      <c r="N963" s="17"/>
    </row>
    <row r="964" spans="13:14" ht="15" customHeight="1">
      <c r="M964" s="17"/>
      <c r="N964" s="17"/>
    </row>
    <row r="965" spans="13:14" ht="15" customHeight="1">
      <c r="M965" s="17"/>
      <c r="N965" s="17"/>
    </row>
    <row r="966" spans="13:14" ht="15" customHeight="1">
      <c r="M966" s="17"/>
      <c r="N966" s="17"/>
    </row>
    <row r="967" spans="13:14" ht="15" customHeight="1">
      <c r="M967" s="17"/>
      <c r="N967" s="17"/>
    </row>
    <row r="968" spans="13:14" ht="15" customHeight="1">
      <c r="M968" s="17"/>
      <c r="N968" s="17"/>
    </row>
    <row r="969" spans="13:14" ht="15" customHeight="1">
      <c r="M969" s="17"/>
      <c r="N969" s="17"/>
    </row>
    <row r="970" spans="13:14" ht="15" customHeight="1">
      <c r="M970" s="17"/>
      <c r="N970" s="17"/>
    </row>
    <row r="971" spans="13:14" ht="15" customHeight="1">
      <c r="M971" s="17"/>
      <c r="N971" s="17"/>
    </row>
    <row r="972" spans="13:14" ht="15" customHeight="1">
      <c r="M972" s="17"/>
      <c r="N972" s="17"/>
    </row>
    <row r="973" spans="13:14" ht="15" customHeight="1">
      <c r="M973" s="17"/>
      <c r="N973" s="17"/>
    </row>
    <row r="974" spans="13:14" ht="15" customHeight="1">
      <c r="M974" s="17"/>
      <c r="N974" s="17"/>
    </row>
    <row r="975" spans="13:14" ht="15" customHeight="1">
      <c r="M975" s="17"/>
      <c r="N975" s="17"/>
    </row>
    <row r="976" spans="13:14" ht="15" customHeight="1">
      <c r="M976" s="17"/>
      <c r="N976" s="17"/>
    </row>
    <row r="977" spans="13:14" ht="15" customHeight="1">
      <c r="M977" s="17"/>
      <c r="N977" s="17"/>
    </row>
    <row r="978" spans="13:14" ht="15" customHeight="1">
      <c r="M978" s="17"/>
      <c r="N978" s="17"/>
    </row>
    <row r="979" spans="13:14" ht="15" customHeight="1">
      <c r="M979" s="17"/>
      <c r="N979" s="17"/>
    </row>
    <row r="980" spans="13:14" ht="15" customHeight="1">
      <c r="M980" s="17"/>
      <c r="N980" s="17"/>
    </row>
    <row r="981" spans="13:14" ht="15" customHeight="1">
      <c r="M981" s="17"/>
      <c r="N981" s="17"/>
    </row>
    <row r="982" spans="13:14" ht="15" customHeight="1">
      <c r="M982" s="17"/>
      <c r="N982" s="17"/>
    </row>
    <row r="983" spans="13:14" ht="15" customHeight="1">
      <c r="M983" s="17"/>
      <c r="N983" s="17"/>
    </row>
    <row r="984" spans="13:14" ht="15" customHeight="1">
      <c r="M984" s="17"/>
      <c r="N984" s="17"/>
    </row>
    <row r="985" spans="13:14" ht="15" customHeight="1">
      <c r="M985" s="17"/>
      <c r="N985" s="17"/>
    </row>
    <row r="986" spans="13:14" ht="15" customHeight="1">
      <c r="M986" s="17"/>
      <c r="N986" s="17"/>
    </row>
    <row r="987" spans="13:14" ht="15" customHeight="1">
      <c r="M987" s="17"/>
      <c r="N987" s="17"/>
    </row>
    <row r="988" spans="13:14" ht="15" customHeight="1">
      <c r="M988" s="17"/>
      <c r="N988" s="17"/>
    </row>
    <row r="989" spans="13:14" ht="15" customHeight="1">
      <c r="M989" s="17"/>
      <c r="N989" s="17"/>
    </row>
    <row r="990" spans="13:14" ht="15" customHeight="1">
      <c r="M990" s="17"/>
      <c r="N990" s="17"/>
    </row>
    <row r="991" spans="13:14" ht="15" customHeight="1">
      <c r="M991" s="17"/>
      <c r="N991" s="17"/>
    </row>
    <row r="992" spans="13:14" ht="15" customHeight="1">
      <c r="M992" s="17"/>
      <c r="N992" s="17"/>
    </row>
    <row r="993" spans="13:14" ht="15" customHeight="1">
      <c r="M993" s="17"/>
      <c r="N993" s="17"/>
    </row>
    <row r="994" spans="13:14" ht="15" customHeight="1">
      <c r="M994" s="17"/>
      <c r="N994" s="17"/>
    </row>
    <row r="995" spans="13:14" ht="15" customHeight="1">
      <c r="M995" s="17"/>
      <c r="N995" s="17"/>
    </row>
    <row r="996" spans="13:14" ht="15" customHeight="1">
      <c r="M996" s="17"/>
      <c r="N996" s="17"/>
    </row>
    <row r="997" spans="13:14" ht="15" customHeight="1">
      <c r="M997" s="17"/>
      <c r="N997" s="17"/>
    </row>
    <row r="998" spans="13:14" ht="15" customHeight="1">
      <c r="M998" s="17"/>
      <c r="N998" s="17"/>
    </row>
    <row r="999" spans="13:14" ht="15" customHeight="1">
      <c r="M999" s="17"/>
      <c r="N999" s="17"/>
    </row>
    <row r="1000" spans="13:14" ht="15" customHeight="1">
      <c r="M1000" s="17"/>
      <c r="N1000" s="17"/>
    </row>
    <row r="1001" spans="13:14" ht="15" customHeight="1">
      <c r="M1001" s="17"/>
      <c r="N1001" s="17"/>
    </row>
    <row r="1002" spans="13:14" ht="15" customHeight="1">
      <c r="M1002" s="17"/>
      <c r="N1002" s="17"/>
    </row>
    <row r="1003" spans="13:14" ht="15" customHeight="1">
      <c r="M1003" s="17"/>
      <c r="N1003" s="17"/>
    </row>
    <row r="1004" spans="13:14" ht="15" customHeight="1">
      <c r="M1004" s="17"/>
      <c r="N1004" s="17"/>
    </row>
    <row r="1005" spans="13:14" ht="15" customHeight="1">
      <c r="M1005" s="17"/>
      <c r="N1005" s="17"/>
    </row>
    <row r="1006" spans="13:14" ht="15" customHeight="1">
      <c r="M1006" s="17"/>
      <c r="N1006" s="17"/>
    </row>
    <row r="1007" spans="13:14" ht="15" customHeight="1">
      <c r="M1007" s="17"/>
      <c r="N1007" s="17"/>
    </row>
    <row r="1008" spans="13:14" ht="15" customHeight="1">
      <c r="M1008" s="17"/>
      <c r="N1008" s="17"/>
    </row>
    <row r="1009" spans="13:14" ht="15" customHeight="1">
      <c r="M1009" s="17"/>
      <c r="N1009" s="17"/>
    </row>
    <row r="1010" spans="13:14" ht="15" customHeight="1">
      <c r="M1010" s="17"/>
      <c r="N1010" s="17"/>
    </row>
    <row r="1011" spans="13:14" ht="15" customHeight="1">
      <c r="M1011" s="17"/>
      <c r="N1011" s="17"/>
    </row>
    <row r="1012" spans="13:14" ht="15" customHeight="1">
      <c r="M1012" s="17"/>
      <c r="N1012" s="17"/>
    </row>
    <row r="1013" spans="13:14" ht="15" customHeight="1">
      <c r="M1013" s="17"/>
      <c r="N1013" s="17"/>
    </row>
    <row r="1014" spans="13:14" ht="15" customHeight="1">
      <c r="M1014" s="17"/>
      <c r="N1014" s="17"/>
    </row>
    <row r="1015" spans="13:14" ht="15" customHeight="1">
      <c r="M1015" s="17"/>
      <c r="N1015" s="17"/>
    </row>
    <row r="1016" spans="13:14" ht="15" customHeight="1">
      <c r="M1016" s="17"/>
      <c r="N1016" s="17"/>
    </row>
    <row r="1017" spans="13:14" ht="15" customHeight="1">
      <c r="M1017" s="17"/>
      <c r="N1017" s="17"/>
    </row>
    <row r="1018" spans="13:14" ht="15" customHeight="1">
      <c r="M1018" s="17"/>
      <c r="N1018" s="17"/>
    </row>
    <row r="1019" spans="13:14" ht="15" customHeight="1">
      <c r="M1019" s="17"/>
      <c r="N1019" s="17"/>
    </row>
    <row r="1020" spans="13:14" ht="15" customHeight="1">
      <c r="M1020" s="17"/>
      <c r="N1020" s="17"/>
    </row>
    <row r="1021" spans="13:14" ht="15" customHeight="1">
      <c r="M1021" s="17"/>
      <c r="N1021" s="17"/>
    </row>
    <row r="1022" spans="13:14" ht="15" customHeight="1">
      <c r="M1022" s="17"/>
      <c r="N1022" s="17"/>
    </row>
    <row r="1023" spans="13:14" ht="15" customHeight="1">
      <c r="M1023" s="17"/>
      <c r="N1023" s="17"/>
    </row>
    <row r="1024" spans="13:14" ht="15" customHeight="1">
      <c r="M1024" s="17"/>
      <c r="N1024" s="17"/>
    </row>
    <row r="1025" spans="13:14" ht="15" customHeight="1">
      <c r="M1025" s="17"/>
      <c r="N1025" s="17"/>
    </row>
    <row r="1026" spans="13:14" ht="15" customHeight="1">
      <c r="M1026" s="17"/>
      <c r="N1026" s="17"/>
    </row>
    <row r="1027" spans="13:14" ht="15" customHeight="1">
      <c r="M1027" s="17"/>
      <c r="N1027" s="17"/>
    </row>
    <row r="1028" spans="13:14" ht="15" customHeight="1">
      <c r="M1028" s="17"/>
      <c r="N1028" s="17"/>
    </row>
    <row r="1029" spans="13:14" ht="15" customHeight="1">
      <c r="M1029" s="17"/>
      <c r="N1029" s="17"/>
    </row>
    <row r="1030" spans="13:14" ht="15" customHeight="1">
      <c r="M1030" s="17"/>
      <c r="N1030" s="17"/>
    </row>
    <row r="1031" spans="13:14" ht="15" customHeight="1">
      <c r="M1031" s="17"/>
      <c r="N1031" s="17"/>
    </row>
    <row r="1032" spans="13:14" ht="15" customHeight="1">
      <c r="M1032" s="17"/>
      <c r="N1032" s="17"/>
    </row>
    <row r="1033" spans="13:14" ht="15" customHeight="1">
      <c r="M1033" s="17"/>
      <c r="N1033" s="17"/>
    </row>
    <row r="1034" spans="13:14" ht="15" customHeight="1">
      <c r="M1034" s="17"/>
      <c r="N1034" s="17"/>
    </row>
    <row r="1035" spans="13:14" ht="15" customHeight="1">
      <c r="M1035" s="17"/>
      <c r="N1035" s="17"/>
    </row>
    <row r="1036" spans="13:14" ht="15" customHeight="1">
      <c r="M1036" s="17"/>
      <c r="N1036" s="17"/>
    </row>
    <row r="1037" spans="13:14" ht="15" customHeight="1">
      <c r="M1037" s="17"/>
      <c r="N1037" s="17"/>
    </row>
    <row r="1038" spans="13:14" ht="15" customHeight="1">
      <c r="M1038" s="17"/>
      <c r="N1038" s="17"/>
    </row>
  </sheetData>
  <pageMargins left="0.23622047244094491" right="0.23622047244094491" top="0" bottom="0" header="0.31496062992125984" footer="0.31496062992125984"/>
  <pageSetup scale="49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6C66-0F0D-411F-AFB8-06D6447DBBBC}">
  <sheetPr codeName="Foglio19"/>
  <dimension ref="A1:B7"/>
  <sheetViews>
    <sheetView workbookViewId="0">
      <selection activeCell="F19" sqref="F19"/>
    </sheetView>
  </sheetViews>
  <sheetFormatPr defaultRowHeight="15"/>
  <cols>
    <col min="1" max="1" width="26.5703125" bestFit="1" customWidth="1"/>
    <col min="2" max="2" width="20.42578125" bestFit="1" customWidth="1"/>
    <col min="3" max="4" width="21.5703125" bestFit="1" customWidth="1"/>
    <col min="5" max="5" width="23.85546875" bestFit="1" customWidth="1"/>
    <col min="6" max="6" width="26.85546875" bestFit="1" customWidth="1"/>
  </cols>
  <sheetData>
    <row r="1" spans="1:2">
      <c r="A1" s="75" t="s">
        <v>1</v>
      </c>
      <c r="B1" t="s">
        <v>9</v>
      </c>
    </row>
    <row r="3" spans="1:2">
      <c r="A3" s="75" t="s">
        <v>46</v>
      </c>
      <c r="B3" t="s">
        <v>45</v>
      </c>
    </row>
    <row r="4" spans="1:2">
      <c r="A4" s="74" t="s">
        <v>67</v>
      </c>
      <c r="B4">
        <v>2</v>
      </c>
    </row>
    <row r="5" spans="1:2">
      <c r="A5" s="74" t="s">
        <v>250</v>
      </c>
      <c r="B5">
        <v>2</v>
      </c>
    </row>
    <row r="6" spans="1:2">
      <c r="A6" s="74" t="s">
        <v>649</v>
      </c>
      <c r="B6">
        <v>9</v>
      </c>
    </row>
    <row r="7" spans="1:2">
      <c r="A7" s="74" t="s">
        <v>47</v>
      </c>
      <c r="B7">
        <v>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429C7-F520-4627-8A0D-6062D5F75A90}">
  <sheetPr codeName="Foglio6"/>
  <dimension ref="A1:B6"/>
  <sheetViews>
    <sheetView workbookViewId="0">
      <selection activeCell="D7" sqref="D7"/>
    </sheetView>
  </sheetViews>
  <sheetFormatPr defaultRowHeight="15"/>
  <cols>
    <col min="1" max="1" width="20" bestFit="1" customWidth="1"/>
    <col min="2" max="2" width="20.42578125" bestFit="1" customWidth="1"/>
    <col min="3" max="4" width="21.5703125" bestFit="1" customWidth="1"/>
    <col min="5" max="5" width="23.85546875" bestFit="1" customWidth="1"/>
    <col min="6" max="6" width="26.85546875" bestFit="1" customWidth="1"/>
  </cols>
  <sheetData>
    <row r="1" spans="1:2">
      <c r="A1" s="75" t="s">
        <v>1</v>
      </c>
      <c r="B1" t="s">
        <v>137</v>
      </c>
    </row>
    <row r="3" spans="1:2">
      <c r="A3" s="75" t="s">
        <v>46</v>
      </c>
      <c r="B3" t="s">
        <v>45</v>
      </c>
    </row>
    <row r="4" spans="1:2">
      <c r="A4" s="74" t="s">
        <v>303</v>
      </c>
      <c r="B4">
        <v>6</v>
      </c>
    </row>
    <row r="5" spans="1:2">
      <c r="A5" s="74" t="s">
        <v>645</v>
      </c>
      <c r="B5">
        <v>1</v>
      </c>
    </row>
    <row r="6" spans="1:2">
      <c r="A6" s="74" t="s">
        <v>47</v>
      </c>
      <c r="B6">
        <v>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9A21-E522-439B-BB81-93A86CBE7C4D}">
  <sheetPr codeName="Foglio7"/>
  <dimension ref="A1:B9"/>
  <sheetViews>
    <sheetView workbookViewId="0">
      <selection activeCell="A8" sqref="A8"/>
    </sheetView>
  </sheetViews>
  <sheetFormatPr defaultRowHeight="15"/>
  <cols>
    <col min="1" max="1" width="18.28515625" bestFit="1" customWidth="1"/>
    <col min="2" max="2" width="19" bestFit="1" customWidth="1"/>
    <col min="3" max="4" width="21.5703125" bestFit="1" customWidth="1"/>
    <col min="5" max="5" width="23.85546875" bestFit="1" customWidth="1"/>
    <col min="6" max="6" width="26.85546875" bestFit="1" customWidth="1"/>
  </cols>
  <sheetData>
    <row r="1" spans="1:2">
      <c r="A1" s="75" t="s">
        <v>1</v>
      </c>
      <c r="B1" t="s">
        <v>630</v>
      </c>
    </row>
    <row r="3" spans="1:2">
      <c r="A3" s="75" t="s">
        <v>46</v>
      </c>
      <c r="B3" t="s">
        <v>627</v>
      </c>
    </row>
    <row r="4" spans="1:2">
      <c r="A4" s="74" t="s">
        <v>9</v>
      </c>
      <c r="B4" s="39">
        <v>245.77272727272725</v>
      </c>
    </row>
    <row r="5" spans="1:2">
      <c r="A5" s="74" t="s">
        <v>66</v>
      </c>
      <c r="B5" s="39">
        <v>108.45454545454544</v>
      </c>
    </row>
    <row r="6" spans="1:2">
      <c r="A6" s="74" t="s">
        <v>11</v>
      </c>
      <c r="B6" s="39">
        <v>108.12727272727271</v>
      </c>
    </row>
    <row r="7" spans="1:2">
      <c r="A7" s="74" t="s">
        <v>15</v>
      </c>
      <c r="B7" s="39">
        <v>93.754545454545422</v>
      </c>
    </row>
    <row r="8" spans="1:2">
      <c r="A8" s="74" t="s">
        <v>150</v>
      </c>
      <c r="B8" s="39">
        <v>161.11818181818182</v>
      </c>
    </row>
    <row r="9" spans="1:2">
      <c r="A9" s="74" t="s">
        <v>47</v>
      </c>
      <c r="B9" s="39">
        <v>717.22727272727263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B08E-78ED-4401-A84F-28207ED552BC}">
  <sheetPr codeName="Foglio10"/>
  <dimension ref="A1:B7"/>
  <sheetViews>
    <sheetView workbookViewId="0">
      <selection activeCell="E30" sqref="E30"/>
    </sheetView>
  </sheetViews>
  <sheetFormatPr defaultRowHeight="15"/>
  <cols>
    <col min="1" max="1" width="18.28515625" bestFit="1" customWidth="1"/>
    <col min="2" max="4" width="19" bestFit="1" customWidth="1"/>
  </cols>
  <sheetData>
    <row r="1" spans="1:2">
      <c r="A1" s="75" t="s">
        <v>0</v>
      </c>
      <c r="B1" t="s">
        <v>630</v>
      </c>
    </row>
    <row r="2" spans="1:2">
      <c r="A2" s="75" t="s">
        <v>1</v>
      </c>
      <c r="B2" t="s">
        <v>630</v>
      </c>
    </row>
    <row r="4" spans="1:2">
      <c r="A4" s="75" t="s">
        <v>46</v>
      </c>
      <c r="B4" t="s">
        <v>627</v>
      </c>
    </row>
    <row r="5" spans="1:2">
      <c r="A5" s="74" t="s">
        <v>38</v>
      </c>
      <c r="B5" s="39">
        <v>65.454545454545453</v>
      </c>
    </row>
    <row r="6" spans="1:2">
      <c r="A6" s="74" t="s">
        <v>622</v>
      </c>
      <c r="B6" s="39">
        <v>4.545454545454545</v>
      </c>
    </row>
    <row r="7" spans="1:2">
      <c r="A7" s="74" t="s">
        <v>47</v>
      </c>
      <c r="B7" s="39">
        <v>70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EF546-8614-4FB3-B002-D95EA595B8A8}">
  <sheetPr codeName="Foglio12"/>
  <dimension ref="A1:B7"/>
  <sheetViews>
    <sheetView workbookViewId="0">
      <selection activeCell="L7" sqref="L7"/>
    </sheetView>
  </sheetViews>
  <sheetFormatPr defaultRowHeight="15"/>
  <cols>
    <col min="1" max="1" width="26.7109375" bestFit="1" customWidth="1"/>
    <col min="2" max="2" width="20.42578125" bestFit="1" customWidth="1"/>
    <col min="3" max="4" width="19" bestFit="1" customWidth="1"/>
  </cols>
  <sheetData>
    <row r="1" spans="1:2">
      <c r="A1" s="75" t="s">
        <v>0</v>
      </c>
      <c r="B1" t="s">
        <v>630</v>
      </c>
    </row>
    <row r="2" spans="1:2">
      <c r="A2" s="75" t="s">
        <v>1</v>
      </c>
      <c r="B2" t="s">
        <v>183</v>
      </c>
    </row>
    <row r="4" spans="1:2">
      <c r="A4" s="75" t="s">
        <v>46</v>
      </c>
      <c r="B4" t="s">
        <v>45</v>
      </c>
    </row>
    <row r="5" spans="1:2">
      <c r="A5" s="74" t="s">
        <v>257</v>
      </c>
      <c r="B5">
        <v>1</v>
      </c>
    </row>
    <row r="6" spans="1:2">
      <c r="A6" s="74" t="s">
        <v>260</v>
      </c>
      <c r="B6">
        <v>1</v>
      </c>
    </row>
    <row r="7" spans="1:2">
      <c r="A7" s="74" t="s">
        <v>47</v>
      </c>
      <c r="B7">
        <v>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5228A-0CFC-493E-B442-7787FA707DE6}">
  <sheetPr codeName="Foglio13"/>
  <dimension ref="A1:B9"/>
  <sheetViews>
    <sheetView workbookViewId="0">
      <selection activeCell="G18" sqref="G18"/>
    </sheetView>
  </sheetViews>
  <sheetFormatPr defaultRowHeight="15"/>
  <cols>
    <col min="1" max="1" width="22" bestFit="1" customWidth="1"/>
    <col min="2" max="2" width="20.42578125" bestFit="1" customWidth="1"/>
    <col min="3" max="4" width="19" bestFit="1" customWidth="1"/>
  </cols>
  <sheetData>
    <row r="1" spans="1:2">
      <c r="A1" s="75" t="s">
        <v>0</v>
      </c>
      <c r="B1" t="s">
        <v>630</v>
      </c>
    </row>
    <row r="2" spans="1:2">
      <c r="A2" s="75" t="s">
        <v>1</v>
      </c>
      <c r="B2" t="s">
        <v>150</v>
      </c>
    </row>
    <row r="4" spans="1:2">
      <c r="A4" s="75" t="s">
        <v>46</v>
      </c>
      <c r="B4" t="s">
        <v>45</v>
      </c>
    </row>
    <row r="5" spans="1:2">
      <c r="A5" s="74" t="s">
        <v>149</v>
      </c>
      <c r="B5">
        <v>2</v>
      </c>
    </row>
    <row r="6" spans="1:2">
      <c r="A6" s="74" t="s">
        <v>153</v>
      </c>
      <c r="B6">
        <v>1</v>
      </c>
    </row>
    <row r="7" spans="1:2">
      <c r="A7" s="74" t="s">
        <v>274</v>
      </c>
      <c r="B7">
        <v>3</v>
      </c>
    </row>
    <row r="8" spans="1:2">
      <c r="A8" s="74" t="s">
        <v>293</v>
      </c>
      <c r="B8">
        <v>1</v>
      </c>
    </row>
    <row r="9" spans="1:2">
      <c r="A9" s="74" t="s">
        <v>47</v>
      </c>
      <c r="B9">
        <v>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DDE01-42EB-410E-84B1-7B73F715BADB}">
  <sheetPr codeName="Foglio14"/>
  <dimension ref="A1:B9"/>
  <sheetViews>
    <sheetView workbookViewId="0">
      <selection activeCell="H18" sqref="H18"/>
    </sheetView>
  </sheetViews>
  <sheetFormatPr defaultRowHeight="15"/>
  <cols>
    <col min="1" max="1" width="18.28515625" bestFit="1" customWidth="1"/>
    <col min="2" max="2" width="20.42578125" bestFit="1" customWidth="1"/>
    <col min="3" max="4" width="19" bestFit="1" customWidth="1"/>
  </cols>
  <sheetData>
    <row r="1" spans="1:2">
      <c r="A1" s="75" t="s">
        <v>0</v>
      </c>
      <c r="B1" t="s">
        <v>630</v>
      </c>
    </row>
    <row r="2" spans="1:2">
      <c r="A2" s="75" t="s">
        <v>1</v>
      </c>
      <c r="B2" t="s">
        <v>630</v>
      </c>
    </row>
    <row r="4" spans="1:2">
      <c r="A4" s="75" t="s">
        <v>46</v>
      </c>
      <c r="B4" t="s">
        <v>45</v>
      </c>
    </row>
    <row r="5" spans="1:2">
      <c r="A5" s="74" t="s">
        <v>211</v>
      </c>
      <c r="B5">
        <v>2</v>
      </c>
    </row>
    <row r="6" spans="1:2">
      <c r="A6" s="74" t="s">
        <v>228</v>
      </c>
      <c r="B6">
        <v>1</v>
      </c>
    </row>
    <row r="7" spans="1:2">
      <c r="A7" s="74" t="s">
        <v>233</v>
      </c>
      <c r="B7">
        <v>1</v>
      </c>
    </row>
    <row r="8" spans="1:2">
      <c r="A8" s="74" t="s">
        <v>264</v>
      </c>
      <c r="B8">
        <v>2</v>
      </c>
    </row>
    <row r="9" spans="1:2">
      <c r="A9" s="74" t="s">
        <v>47</v>
      </c>
      <c r="B9">
        <v>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97BF-13AD-4B75-90FC-36036A3E56B9}">
  <sheetPr codeName="Foglio15"/>
  <dimension ref="A1:B6"/>
  <sheetViews>
    <sheetView workbookViewId="0">
      <selection activeCell="F19" sqref="F19"/>
    </sheetView>
  </sheetViews>
  <sheetFormatPr defaultRowHeight="15"/>
  <cols>
    <col min="1" max="1" width="18.28515625" bestFit="1" customWidth="1"/>
    <col min="2" max="2" width="20.42578125" bestFit="1" customWidth="1"/>
    <col min="3" max="4" width="19" bestFit="1" customWidth="1"/>
  </cols>
  <sheetData>
    <row r="1" spans="1:2">
      <c r="A1" s="75" t="s">
        <v>0</v>
      </c>
      <c r="B1" t="s">
        <v>630</v>
      </c>
    </row>
    <row r="2" spans="1:2">
      <c r="A2" s="75" t="s">
        <v>1</v>
      </c>
      <c r="B2" t="s">
        <v>96</v>
      </c>
    </row>
    <row r="4" spans="1:2">
      <c r="A4" s="75" t="s">
        <v>46</v>
      </c>
      <c r="B4" t="s">
        <v>45</v>
      </c>
    </row>
    <row r="5" spans="1:2">
      <c r="A5" s="74" t="s">
        <v>95</v>
      </c>
      <c r="B5">
        <v>2</v>
      </c>
    </row>
    <row r="6" spans="1:2">
      <c r="A6" s="74" t="s">
        <v>47</v>
      </c>
      <c r="B6">
        <v>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FCB5-E3CD-4152-95AD-F65AD710BAF9}">
  <sheetPr codeName="Foglio16"/>
  <dimension ref="A1:B16"/>
  <sheetViews>
    <sheetView workbookViewId="0">
      <selection activeCell="A13" sqref="A13"/>
    </sheetView>
  </sheetViews>
  <sheetFormatPr defaultRowHeight="15"/>
  <cols>
    <col min="1" max="1" width="21.42578125" bestFit="1" customWidth="1"/>
    <col min="2" max="2" width="20.28515625" bestFit="1" customWidth="1"/>
    <col min="3" max="3" width="18.7109375" bestFit="1" customWidth="1"/>
    <col min="4" max="4" width="19.7109375" bestFit="1" customWidth="1"/>
  </cols>
  <sheetData>
    <row r="1" spans="1:2">
      <c r="A1" s="75" t="s">
        <v>1</v>
      </c>
      <c r="B1" t="s">
        <v>630</v>
      </c>
    </row>
    <row r="3" spans="1:2">
      <c r="A3" s="75" t="s">
        <v>46</v>
      </c>
      <c r="B3" t="s">
        <v>344</v>
      </c>
    </row>
    <row r="4" spans="1:2">
      <c r="A4" s="74" t="s">
        <v>64</v>
      </c>
      <c r="B4" s="77">
        <v>0.78771132844414604</v>
      </c>
    </row>
    <row r="5" spans="1:2">
      <c r="A5" s="74" t="s">
        <v>66</v>
      </c>
      <c r="B5" s="77">
        <v>0.75275099206349216</v>
      </c>
    </row>
    <row r="6" spans="1:2">
      <c r="A6" s="74" t="s">
        <v>152</v>
      </c>
      <c r="B6" s="77">
        <v>0.66666666666666663</v>
      </c>
    </row>
    <row r="7" spans="1:2">
      <c r="A7" s="74" t="s">
        <v>55</v>
      </c>
      <c r="B7" s="77">
        <v>0.72789603719949647</v>
      </c>
    </row>
    <row r="8" spans="1:2">
      <c r="A8" s="74" t="s">
        <v>96</v>
      </c>
      <c r="B8" s="77">
        <v>0.66666666666666674</v>
      </c>
    </row>
    <row r="9" spans="1:2">
      <c r="A9" s="74" t="s">
        <v>15</v>
      </c>
      <c r="B9" s="77">
        <v>0.72345007536477557</v>
      </c>
    </row>
    <row r="10" spans="1:2">
      <c r="A10" s="74" t="s">
        <v>145</v>
      </c>
      <c r="B10" s="77">
        <v>0.82400000000000007</v>
      </c>
    </row>
    <row r="11" spans="1:2">
      <c r="A11" s="74" t="s">
        <v>10</v>
      </c>
      <c r="B11" s="77">
        <v>0.66666666666666663</v>
      </c>
    </row>
    <row r="12" spans="1:2">
      <c r="A12" s="74" t="s">
        <v>175</v>
      </c>
      <c r="B12" s="77">
        <v>0.72958333333333325</v>
      </c>
    </row>
    <row r="13" spans="1:2">
      <c r="A13" s="74" t="s">
        <v>134</v>
      </c>
      <c r="B13" s="77">
        <v>0.66666666666666663</v>
      </c>
    </row>
    <row r="14" spans="1:2">
      <c r="A14" s="74" t="s">
        <v>52</v>
      </c>
      <c r="B14" s="77">
        <v>0.74365229044834302</v>
      </c>
    </row>
    <row r="15" spans="1:2">
      <c r="A15" s="74" t="s">
        <v>85</v>
      </c>
      <c r="B15" s="77">
        <v>0.75038461538461543</v>
      </c>
    </row>
    <row r="16" spans="1:2">
      <c r="A16" s="74" t="s">
        <v>47</v>
      </c>
      <c r="B16" s="77">
        <v>0.73299185439582271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DE12D-957E-490A-AED5-610391F1B268}">
  <sheetPr codeName="Foglio20"/>
  <dimension ref="A1:B9"/>
  <sheetViews>
    <sheetView workbookViewId="0">
      <selection activeCell="F10" sqref="F10"/>
    </sheetView>
  </sheetViews>
  <sheetFormatPr defaultRowHeight="15"/>
  <cols>
    <col min="1" max="1" width="18.28515625" bestFit="1" customWidth="1"/>
    <col min="2" max="2" width="20.42578125" bestFit="1" customWidth="1"/>
    <col min="3" max="4" width="21.5703125" bestFit="1" customWidth="1"/>
    <col min="5" max="5" width="23.85546875" bestFit="1" customWidth="1"/>
    <col min="6" max="6" width="26.85546875" bestFit="1" customWidth="1"/>
  </cols>
  <sheetData>
    <row r="1" spans="1:2">
      <c r="A1" s="75" t="s">
        <v>1</v>
      </c>
      <c r="B1" t="s">
        <v>15</v>
      </c>
    </row>
    <row r="3" spans="1:2">
      <c r="A3" s="75" t="s">
        <v>46</v>
      </c>
      <c r="B3" t="s">
        <v>45</v>
      </c>
    </row>
    <row r="4" spans="1:2">
      <c r="A4" s="74" t="s">
        <v>98</v>
      </c>
      <c r="B4">
        <v>32</v>
      </c>
    </row>
    <row r="5" spans="1:2">
      <c r="A5" s="74" t="s">
        <v>40</v>
      </c>
      <c r="B5">
        <v>8</v>
      </c>
    </row>
    <row r="6" spans="1:2">
      <c r="A6" s="74" t="s">
        <v>179</v>
      </c>
      <c r="B6">
        <v>5</v>
      </c>
    </row>
    <row r="7" spans="1:2">
      <c r="A7" s="74" t="s">
        <v>180</v>
      </c>
      <c r="B7">
        <v>5</v>
      </c>
    </row>
    <row r="8" spans="1:2">
      <c r="A8" s="74" t="s">
        <v>242</v>
      </c>
      <c r="B8">
        <v>14</v>
      </c>
    </row>
    <row r="9" spans="1:2">
      <c r="A9" s="74" t="s">
        <v>47</v>
      </c>
      <c r="B9">
        <v>64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E7FA-1864-498B-AD23-F431D340EBCF}">
  <sheetPr codeName="Foglio21"/>
  <dimension ref="A1:B8"/>
  <sheetViews>
    <sheetView workbookViewId="0">
      <selection activeCell="F16" sqref="F16"/>
    </sheetView>
  </sheetViews>
  <sheetFormatPr defaultRowHeight="15"/>
  <cols>
    <col min="1" max="1" width="24.7109375" bestFit="1" customWidth="1"/>
    <col min="2" max="2" width="20.42578125" bestFit="1" customWidth="1"/>
    <col min="3" max="4" width="21.5703125" bestFit="1" customWidth="1"/>
    <col min="5" max="5" width="23.85546875" bestFit="1" customWidth="1"/>
    <col min="6" max="6" width="26.85546875" bestFit="1" customWidth="1"/>
  </cols>
  <sheetData>
    <row r="1" spans="1:2">
      <c r="A1" s="75" t="s">
        <v>1</v>
      </c>
      <c r="B1" t="s">
        <v>90</v>
      </c>
    </row>
    <row r="3" spans="1:2">
      <c r="A3" s="75" t="s">
        <v>46</v>
      </c>
      <c r="B3" t="s">
        <v>45</v>
      </c>
    </row>
    <row r="4" spans="1:2">
      <c r="A4" s="74" t="s">
        <v>106</v>
      </c>
      <c r="B4">
        <v>1</v>
      </c>
    </row>
    <row r="5" spans="1:2">
      <c r="A5" s="74" t="s">
        <v>121</v>
      </c>
      <c r="B5">
        <v>4</v>
      </c>
    </row>
    <row r="6" spans="1:2">
      <c r="A6" s="74" t="s">
        <v>644</v>
      </c>
      <c r="B6">
        <v>4</v>
      </c>
    </row>
    <row r="7" spans="1:2">
      <c r="A7" s="74" t="s">
        <v>648</v>
      </c>
      <c r="B7">
        <v>2</v>
      </c>
    </row>
    <row r="8" spans="1:2">
      <c r="A8" s="74" t="s">
        <v>47</v>
      </c>
      <c r="B8">
        <v>11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B1736-011F-4B6B-94E4-C115F5EE5F4C}">
  <sheetPr codeName="Foglio22"/>
  <dimension ref="A1:B4"/>
  <sheetViews>
    <sheetView workbookViewId="0">
      <selection activeCell="E13" sqref="E13"/>
    </sheetView>
  </sheetViews>
  <sheetFormatPr defaultRowHeight="15"/>
  <cols>
    <col min="1" max="1" width="18.28515625" bestFit="1" customWidth="1"/>
    <col min="2" max="2" width="20.42578125" bestFit="1" customWidth="1"/>
    <col min="3" max="4" width="21.5703125" bestFit="1" customWidth="1"/>
    <col min="5" max="5" width="23.85546875" bestFit="1" customWidth="1"/>
    <col min="6" max="6" width="26.85546875" bestFit="1" customWidth="1"/>
  </cols>
  <sheetData>
    <row r="1" spans="1:2">
      <c r="A1" s="75" t="s">
        <v>1</v>
      </c>
      <c r="B1" t="s">
        <v>630</v>
      </c>
    </row>
    <row r="3" spans="1:2">
      <c r="A3" s="75" t="s">
        <v>46</v>
      </c>
      <c r="B3" t="s">
        <v>45</v>
      </c>
    </row>
    <row r="4" spans="1:2">
      <c r="A4" s="74" t="s">
        <v>47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04841-613F-456A-99A9-51EACCA09ECE}">
  <sheetPr codeName="Foglio23"/>
  <dimension ref="A1:B10"/>
  <sheetViews>
    <sheetView workbookViewId="0">
      <selection activeCell="A5" sqref="A5"/>
    </sheetView>
  </sheetViews>
  <sheetFormatPr defaultRowHeight="15"/>
  <cols>
    <col min="1" max="1" width="24.85546875" bestFit="1" customWidth="1"/>
    <col min="2" max="2" width="21.140625" bestFit="1" customWidth="1"/>
    <col min="3" max="3" width="25.140625" bestFit="1" customWidth="1"/>
    <col min="4" max="4" width="22" bestFit="1" customWidth="1"/>
  </cols>
  <sheetData>
    <row r="1" spans="1:2">
      <c r="A1" s="75" t="s">
        <v>1</v>
      </c>
      <c r="B1" t="s">
        <v>630</v>
      </c>
    </row>
    <row r="3" spans="1:2">
      <c r="A3" s="75" t="s">
        <v>46</v>
      </c>
      <c r="B3" t="s">
        <v>640</v>
      </c>
    </row>
    <row r="4" spans="1:2">
      <c r="A4" s="74" t="s">
        <v>22</v>
      </c>
      <c r="B4" s="77">
        <v>0.7014285714285714</v>
      </c>
    </row>
    <row r="5" spans="1:2">
      <c r="A5" s="74" t="s">
        <v>13</v>
      </c>
      <c r="B5" s="77">
        <v>0.78532539682539682</v>
      </c>
    </row>
    <row r="6" spans="1:2">
      <c r="A6" s="74" t="s">
        <v>38</v>
      </c>
      <c r="B6" s="77">
        <v>0.72958333333333325</v>
      </c>
    </row>
    <row r="7" spans="1:2">
      <c r="A7" s="74" t="s">
        <v>43</v>
      </c>
      <c r="B7" s="77">
        <v>0.77312500000000006</v>
      </c>
    </row>
    <row r="8" spans="1:2">
      <c r="A8" s="74" t="s">
        <v>622</v>
      </c>
      <c r="B8" s="77">
        <v>0.82400000000000007</v>
      </c>
    </row>
    <row r="9" spans="1:2">
      <c r="A9" s="74" t="s">
        <v>285</v>
      </c>
      <c r="B9" s="77">
        <v>0.75112499999999993</v>
      </c>
    </row>
    <row r="10" spans="1:2">
      <c r="A10" s="74" t="s">
        <v>47</v>
      </c>
      <c r="B10" s="77">
        <v>4.5645873015873013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2B908-5F31-489A-B59D-2B36DBD83876}">
  <sheetPr codeName="Foglio24"/>
  <dimension ref="A1:B7"/>
  <sheetViews>
    <sheetView workbookViewId="0">
      <selection activeCell="E6" sqref="E6"/>
    </sheetView>
  </sheetViews>
  <sheetFormatPr defaultRowHeight="15"/>
  <cols>
    <col min="1" max="1" width="30.28515625" bestFit="1" customWidth="1"/>
    <col min="2" max="2" width="21.140625" bestFit="1" customWidth="1"/>
    <col min="3" max="3" width="25.140625" bestFit="1" customWidth="1"/>
    <col min="4" max="4" width="22" bestFit="1" customWidth="1"/>
  </cols>
  <sheetData>
    <row r="1" spans="1:2">
      <c r="A1" s="75" t="s">
        <v>1</v>
      </c>
      <c r="B1" t="s">
        <v>183</v>
      </c>
    </row>
    <row r="3" spans="1:2">
      <c r="A3" s="75" t="s">
        <v>46</v>
      </c>
      <c r="B3" t="s">
        <v>640</v>
      </c>
    </row>
    <row r="4" spans="1:2">
      <c r="A4" s="74" t="s">
        <v>257</v>
      </c>
      <c r="B4" s="77">
        <v>0.66666666666666674</v>
      </c>
    </row>
    <row r="5" spans="1:2">
      <c r="A5" s="74" t="s">
        <v>260</v>
      </c>
      <c r="B5" s="77">
        <v>0.64444444444444449</v>
      </c>
    </row>
    <row r="6" spans="1:2">
      <c r="A6" s="74" t="s">
        <v>650</v>
      </c>
      <c r="B6" s="77">
        <v>0.23513513513513509</v>
      </c>
    </row>
    <row r="7" spans="1:2">
      <c r="A7" s="74" t="s">
        <v>47</v>
      </c>
      <c r="B7" s="77">
        <v>1.5462462462462465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0265-240C-4835-A4EC-9F1828DFB835}">
  <sheetPr codeName="Foglio25"/>
  <dimension ref="A1:B9"/>
  <sheetViews>
    <sheetView workbookViewId="0">
      <selection activeCell="A6" sqref="A6"/>
    </sheetView>
  </sheetViews>
  <sheetFormatPr defaultRowHeight="15"/>
  <cols>
    <col min="1" max="1" width="33" bestFit="1" customWidth="1"/>
    <col min="2" max="2" width="21.140625" bestFit="1" customWidth="1"/>
    <col min="3" max="3" width="25.140625" bestFit="1" customWidth="1"/>
    <col min="4" max="4" width="22" bestFit="1" customWidth="1"/>
  </cols>
  <sheetData>
    <row r="1" spans="1:2">
      <c r="A1" s="75" t="s">
        <v>1</v>
      </c>
      <c r="B1" t="s">
        <v>150</v>
      </c>
    </row>
    <row r="3" spans="1:2">
      <c r="A3" s="75" t="s">
        <v>46</v>
      </c>
      <c r="B3" t="s">
        <v>640</v>
      </c>
    </row>
    <row r="4" spans="1:2">
      <c r="A4" s="74" t="s">
        <v>149</v>
      </c>
      <c r="B4" s="77">
        <v>0.35192307692307701</v>
      </c>
    </row>
    <row r="5" spans="1:2">
      <c r="A5" s="74" t="s">
        <v>153</v>
      </c>
      <c r="B5" s="77">
        <v>0.6284501061571125</v>
      </c>
    </row>
    <row r="6" spans="1:2">
      <c r="A6" s="74" t="s">
        <v>274</v>
      </c>
      <c r="B6" s="77">
        <v>0</v>
      </c>
    </row>
    <row r="7" spans="1:2">
      <c r="A7" s="74" t="s">
        <v>293</v>
      </c>
      <c r="B7" s="77">
        <v>0.66666666666666674</v>
      </c>
    </row>
    <row r="8" spans="1:2">
      <c r="A8" s="74" t="s">
        <v>651</v>
      </c>
      <c r="B8" s="77">
        <v>0.18189255522225259</v>
      </c>
    </row>
    <row r="9" spans="1:2">
      <c r="A9" s="74" t="s">
        <v>47</v>
      </c>
      <c r="B9" s="77">
        <v>1.8289324049691089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018E-5BF9-4CC7-A990-9EFE3B16A490}">
  <sheetPr codeName="Foglio26"/>
  <dimension ref="A1:B8"/>
  <sheetViews>
    <sheetView workbookViewId="0">
      <selection activeCell="K12" sqref="K12"/>
    </sheetView>
  </sheetViews>
  <sheetFormatPr defaultRowHeight="15"/>
  <cols>
    <col min="1" max="1" width="18.28515625" bestFit="1" customWidth="1"/>
    <col min="2" max="2" width="21.140625" bestFit="1" customWidth="1"/>
    <col min="3" max="3" width="25.140625" bestFit="1" customWidth="1"/>
    <col min="4" max="4" width="22" bestFit="1" customWidth="1"/>
  </cols>
  <sheetData>
    <row r="1" spans="1:2">
      <c r="A1" s="75" t="s">
        <v>1</v>
      </c>
      <c r="B1" t="s">
        <v>630</v>
      </c>
    </row>
    <row r="3" spans="1:2">
      <c r="A3" s="75" t="s">
        <v>46</v>
      </c>
      <c r="B3" t="s">
        <v>640</v>
      </c>
    </row>
    <row r="4" spans="1:2">
      <c r="A4" s="74" t="s">
        <v>211</v>
      </c>
      <c r="B4" s="77">
        <v>0.79852631578947364</v>
      </c>
    </row>
    <row r="5" spans="1:2">
      <c r="A5" s="74" t="s">
        <v>228</v>
      </c>
      <c r="B5" s="77">
        <v>0.70987499999999992</v>
      </c>
    </row>
    <row r="6" spans="1:2">
      <c r="A6" s="74" t="s">
        <v>233</v>
      </c>
      <c r="B6" s="77">
        <v>0.72255555555555562</v>
      </c>
    </row>
    <row r="7" spans="1:2">
      <c r="A7" s="74" t="s">
        <v>264</v>
      </c>
      <c r="B7" s="77">
        <v>0.75038461538461543</v>
      </c>
    </row>
    <row r="8" spans="1:2">
      <c r="A8" s="74" t="s">
        <v>47</v>
      </c>
      <c r="B8" s="77">
        <v>2.9813414867296446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77B6-A96A-46E6-9854-D47F3E279502}">
  <sheetPr codeName="Foglio27"/>
  <dimension ref="A1:B6"/>
  <sheetViews>
    <sheetView workbookViewId="0">
      <selection activeCell="F3" sqref="F3"/>
    </sheetView>
  </sheetViews>
  <sheetFormatPr defaultRowHeight="15"/>
  <cols>
    <col min="1" max="1" width="20.28515625" bestFit="1" customWidth="1"/>
    <col min="2" max="2" width="21.140625" bestFit="1" customWidth="1"/>
    <col min="3" max="3" width="25.140625" bestFit="1" customWidth="1"/>
    <col min="4" max="4" width="22" bestFit="1" customWidth="1"/>
  </cols>
  <sheetData>
    <row r="1" spans="1:2">
      <c r="A1" s="75" t="s">
        <v>1</v>
      </c>
      <c r="B1" t="s">
        <v>96</v>
      </c>
    </row>
    <row r="3" spans="1:2">
      <c r="A3" s="75" t="s">
        <v>46</v>
      </c>
      <c r="B3" t="s">
        <v>640</v>
      </c>
    </row>
    <row r="4" spans="1:2">
      <c r="A4" s="74" t="s">
        <v>95</v>
      </c>
      <c r="B4" s="77">
        <v>0.66666666666666674</v>
      </c>
    </row>
    <row r="5" spans="1:2">
      <c r="A5" s="74" t="s">
        <v>643</v>
      </c>
      <c r="B5" s="77">
        <v>0.66666666666666674</v>
      </c>
    </row>
    <row r="6" spans="1:2">
      <c r="A6" s="74" t="s">
        <v>47</v>
      </c>
      <c r="B6" s="77">
        <v>1.3333333333333335</v>
      </c>
    </row>
  </sheetData>
  <pageMargins left="0.7" right="0.7" top="0.75" bottom="0.75" header="0.3" footer="0.3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8D0C3-A2FF-4480-BF67-A43996B4D86A}">
  <sheetPr codeName="Foglio28"/>
  <dimension ref="A1:B7"/>
  <sheetViews>
    <sheetView workbookViewId="0">
      <selection activeCell="F3" sqref="F3"/>
    </sheetView>
  </sheetViews>
  <sheetFormatPr defaultRowHeight="15"/>
  <cols>
    <col min="1" max="1" width="26.5703125" bestFit="1" customWidth="1"/>
    <col min="2" max="2" width="21.140625" bestFit="1" customWidth="1"/>
    <col min="3" max="3" width="25.140625" bestFit="1" customWidth="1"/>
    <col min="4" max="4" width="22" bestFit="1" customWidth="1"/>
  </cols>
  <sheetData>
    <row r="1" spans="1:2">
      <c r="A1" s="75" t="s">
        <v>1</v>
      </c>
      <c r="B1" t="s">
        <v>9</v>
      </c>
    </row>
    <row r="3" spans="1:2">
      <c r="A3" s="75" t="s">
        <v>46</v>
      </c>
      <c r="B3" t="s">
        <v>640</v>
      </c>
    </row>
    <row r="4" spans="1:2">
      <c r="A4" s="74" t="s">
        <v>67</v>
      </c>
      <c r="B4" s="77">
        <v>0.53399999999999992</v>
      </c>
    </row>
    <row r="5" spans="1:2">
      <c r="A5" s="74" t="s">
        <v>250</v>
      </c>
      <c r="B5" s="77">
        <v>0.75</v>
      </c>
    </row>
    <row r="6" spans="1:2">
      <c r="A6" s="74" t="s">
        <v>649</v>
      </c>
      <c r="B6" s="77">
        <v>0.6063618290258449</v>
      </c>
    </row>
    <row r="7" spans="1:2">
      <c r="A7" s="74" t="s">
        <v>47</v>
      </c>
      <c r="B7" s="77">
        <v>1.8903618290258448</v>
      </c>
    </row>
  </sheetData>
  <pageMargins left="0.7" right="0.7" top="0.75" bottom="0.75" header="0.3" footer="0.3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ABBE-8144-494E-AF6A-485A4FEDDC9D}">
  <sheetPr codeName="Foglio29"/>
  <dimension ref="A1:B6"/>
  <sheetViews>
    <sheetView workbookViewId="0">
      <selection activeCell="D38" sqref="D38"/>
    </sheetView>
  </sheetViews>
  <sheetFormatPr defaultRowHeight="15"/>
  <cols>
    <col min="1" max="1" width="20" bestFit="1" customWidth="1"/>
    <col min="2" max="2" width="21.140625" bestFit="1" customWidth="1"/>
    <col min="3" max="3" width="25.140625" bestFit="1" customWidth="1"/>
    <col min="4" max="4" width="22" bestFit="1" customWidth="1"/>
  </cols>
  <sheetData>
    <row r="1" spans="1:2">
      <c r="A1" s="75" t="s">
        <v>1</v>
      </c>
      <c r="B1" t="s">
        <v>137</v>
      </c>
    </row>
    <row r="3" spans="1:2">
      <c r="A3" s="75" t="s">
        <v>46</v>
      </c>
      <c r="B3" t="s">
        <v>640</v>
      </c>
    </row>
    <row r="4" spans="1:2">
      <c r="A4" s="74" t="s">
        <v>303</v>
      </c>
      <c r="B4" s="77">
        <v>0</v>
      </c>
    </row>
    <row r="5" spans="1:2">
      <c r="A5" s="74" t="s">
        <v>645</v>
      </c>
      <c r="B5" s="77">
        <v>0</v>
      </c>
    </row>
    <row r="6" spans="1:2">
      <c r="A6" s="74" t="s">
        <v>47</v>
      </c>
      <c r="B6" s="77">
        <v>0</v>
      </c>
    </row>
  </sheetData>
  <pageMargins left="0.7" right="0.7" top="0.75" bottom="0.75" header="0.3" footer="0.3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FF594-D7C9-4BCD-930B-7F098A0145C9}">
  <sheetPr codeName="Foglio30"/>
  <dimension ref="A1:B14"/>
  <sheetViews>
    <sheetView workbookViewId="0">
      <selection activeCell="D38" sqref="D38"/>
    </sheetView>
  </sheetViews>
  <sheetFormatPr defaultRowHeight="15"/>
  <cols>
    <col min="1" max="1" width="24.5703125" bestFit="1" customWidth="1"/>
    <col min="2" max="2" width="21.140625" bestFit="1" customWidth="1"/>
    <col min="3" max="3" width="25.140625" bestFit="1" customWidth="1"/>
    <col min="4" max="4" width="22" bestFit="1" customWidth="1"/>
  </cols>
  <sheetData>
    <row r="1" spans="1:2">
      <c r="A1" s="75" t="s">
        <v>1</v>
      </c>
      <c r="B1" t="s">
        <v>15</v>
      </c>
    </row>
    <row r="3" spans="1:2">
      <c r="A3" s="75" t="s">
        <v>46</v>
      </c>
      <c r="B3" t="s">
        <v>640</v>
      </c>
    </row>
    <row r="4" spans="1:2">
      <c r="A4" s="74" t="s">
        <v>98</v>
      </c>
      <c r="B4" s="77">
        <v>0.81661891117478513</v>
      </c>
    </row>
    <row r="5" spans="1:2">
      <c r="A5" s="74" t="s">
        <v>99</v>
      </c>
      <c r="B5" s="77">
        <v>0.89</v>
      </c>
    </row>
    <row r="6" spans="1:2">
      <c r="A6" s="74" t="s">
        <v>101</v>
      </c>
      <c r="B6" s="77">
        <v>0.80750000000000011</v>
      </c>
    </row>
    <row r="7" spans="1:2">
      <c r="A7" s="74" t="s">
        <v>103</v>
      </c>
      <c r="B7" s="77">
        <v>0.83452991452991454</v>
      </c>
    </row>
    <row r="8" spans="1:2">
      <c r="A8" s="74" t="s">
        <v>40</v>
      </c>
      <c r="B8" s="77">
        <v>0.8307692307692307</v>
      </c>
    </row>
    <row r="9" spans="1:2">
      <c r="A9" s="74" t="s">
        <v>179</v>
      </c>
      <c r="B9" s="77">
        <v>0.76086956521739124</v>
      </c>
    </row>
    <row r="10" spans="1:2">
      <c r="A10" s="74" t="s">
        <v>180</v>
      </c>
      <c r="B10" s="77">
        <v>0.77051460361613355</v>
      </c>
    </row>
    <row r="11" spans="1:2">
      <c r="A11" s="74" t="s">
        <v>219</v>
      </c>
      <c r="B11" s="77">
        <v>0.52581453634085218</v>
      </c>
    </row>
    <row r="12" spans="1:2">
      <c r="A12" s="74" t="s">
        <v>242</v>
      </c>
      <c r="B12" s="77">
        <v>0.4676543209876543</v>
      </c>
    </row>
    <row r="13" spans="1:2">
      <c r="A13" s="74" t="s">
        <v>647</v>
      </c>
      <c r="B13" s="77">
        <v>0.53022967101179397</v>
      </c>
    </row>
    <row r="14" spans="1:2">
      <c r="A14" s="74" t="s">
        <v>47</v>
      </c>
      <c r="B14" s="77">
        <v>7.2345007536477564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DBF0-3C2B-4C9C-AB46-448ECBA280E0}">
  <sheetPr codeName="Foglio31"/>
  <dimension ref="A1:B8"/>
  <sheetViews>
    <sheetView workbookViewId="0">
      <selection activeCell="D5" sqref="D5"/>
    </sheetView>
  </sheetViews>
  <sheetFormatPr defaultRowHeight="15"/>
  <cols>
    <col min="1" max="1" width="24.7109375" bestFit="1" customWidth="1"/>
    <col min="2" max="2" width="21.140625" bestFit="1" customWidth="1"/>
    <col min="3" max="3" width="25.140625" bestFit="1" customWidth="1"/>
    <col min="4" max="4" width="22" bestFit="1" customWidth="1"/>
  </cols>
  <sheetData>
    <row r="1" spans="1:2">
      <c r="A1" s="75" t="s">
        <v>1</v>
      </c>
      <c r="B1" t="s">
        <v>90</v>
      </c>
    </row>
    <row r="3" spans="1:2">
      <c r="A3" s="75" t="s">
        <v>46</v>
      </c>
      <c r="B3" t="s">
        <v>640</v>
      </c>
    </row>
    <row r="4" spans="1:2">
      <c r="A4" s="74" t="s">
        <v>106</v>
      </c>
      <c r="B4" s="77">
        <v>0.61683333333333334</v>
      </c>
    </row>
    <row r="5" spans="1:2">
      <c r="A5" s="74" t="s">
        <v>121</v>
      </c>
      <c r="B5" s="77">
        <v>0.75579999999999992</v>
      </c>
    </row>
    <row r="6" spans="1:2">
      <c r="A6" s="74" t="s">
        <v>644</v>
      </c>
      <c r="B6" s="77">
        <v>0</v>
      </c>
    </row>
    <row r="7" spans="1:2">
      <c r="A7" s="74" t="s">
        <v>648</v>
      </c>
      <c r="B7" s="77">
        <v>0</v>
      </c>
    </row>
    <row r="8" spans="1:2">
      <c r="A8" s="74" t="s">
        <v>47</v>
      </c>
      <c r="B8" s="77">
        <v>1.3726333333333334</v>
      </c>
    </row>
  </sheetData>
  <pageMargins left="0.7" right="0.7" top="0.75" bottom="0.75" header="0.3" footer="0.3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56DC-34C6-4CE0-844B-E6C924158A90}">
  <sheetPr codeName="Foglio32"/>
  <dimension ref="A1:B8"/>
  <sheetViews>
    <sheetView workbookViewId="0">
      <selection activeCell="D4" sqref="D4"/>
    </sheetView>
  </sheetViews>
  <sheetFormatPr defaultRowHeight="15"/>
  <cols>
    <col min="1" max="1" width="19.85546875" bestFit="1" customWidth="1"/>
    <col min="2" max="2" width="24.28515625" bestFit="1" customWidth="1"/>
    <col min="3" max="3" width="25.140625" bestFit="1" customWidth="1"/>
    <col min="4" max="4" width="22" bestFit="1" customWidth="1"/>
  </cols>
  <sheetData>
    <row r="1" spans="1:2">
      <c r="A1" s="75" t="s">
        <v>1</v>
      </c>
      <c r="B1" t="s">
        <v>88</v>
      </c>
    </row>
    <row r="3" spans="1:2">
      <c r="A3" s="75" t="s">
        <v>46</v>
      </c>
      <c r="B3" t="s">
        <v>640</v>
      </c>
    </row>
    <row r="4" spans="1:2">
      <c r="A4" s="74" t="s">
        <v>109</v>
      </c>
      <c r="B4" s="77">
        <v>0.83282438901486511</v>
      </c>
    </row>
    <row r="5" spans="1:2">
      <c r="A5" s="74" t="s">
        <v>114</v>
      </c>
      <c r="B5" s="77">
        <v>0.71928000000000003</v>
      </c>
    </row>
    <row r="6" spans="1:2">
      <c r="A6" s="74" t="s">
        <v>122</v>
      </c>
      <c r="B6" s="77">
        <v>0.73599999999999999</v>
      </c>
    </row>
    <row r="7" spans="1:2">
      <c r="A7" s="74" t="s">
        <v>642</v>
      </c>
      <c r="B7" s="77">
        <v>0</v>
      </c>
    </row>
    <row r="8" spans="1:2">
      <c r="A8" s="74" t="s">
        <v>47</v>
      </c>
      <c r="B8" s="77">
        <v>2.2881043890148653</v>
      </c>
    </row>
  </sheetData>
  <pageMargins left="0.7" right="0.7" top="0.75" bottom="0.75" header="0.3" footer="0.3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BC3E-DB66-4EBB-857C-AE4D9013A9E7}">
  <sheetPr codeName="Foglio33"/>
  <dimension ref="A1:B4"/>
  <sheetViews>
    <sheetView workbookViewId="0">
      <selection activeCell="H6" sqref="H6"/>
    </sheetView>
  </sheetViews>
  <sheetFormatPr defaultRowHeight="15"/>
  <cols>
    <col min="1" max="1" width="18.28515625" bestFit="1" customWidth="1"/>
    <col min="2" max="2" width="21.140625" bestFit="1" customWidth="1"/>
    <col min="3" max="3" width="25.140625" bestFit="1" customWidth="1"/>
    <col min="4" max="4" width="22" bestFit="1" customWidth="1"/>
  </cols>
  <sheetData>
    <row r="1" spans="1:2">
      <c r="A1" s="75" t="s">
        <v>1</v>
      </c>
      <c r="B1" t="s">
        <v>630</v>
      </c>
    </row>
    <row r="3" spans="1:2">
      <c r="A3" s="75" t="s">
        <v>46</v>
      </c>
      <c r="B3" t="s">
        <v>640</v>
      </c>
    </row>
    <row r="4" spans="1:2">
      <c r="A4" s="74" t="s">
        <v>47</v>
      </c>
      <c r="B4" s="77"/>
    </row>
  </sheetData>
  <pageMargins left="0.7" right="0.7" top="0.75" bottom="0.75" header="0.3" footer="0.3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126E-21F1-4242-89B0-7AC34BA6B4AF}">
  <sheetPr codeName="Foglio36"/>
  <dimension ref="A1:B9"/>
  <sheetViews>
    <sheetView workbookViewId="0">
      <selection activeCell="H14" sqref="H14"/>
    </sheetView>
  </sheetViews>
  <sheetFormatPr defaultRowHeight="15"/>
  <cols>
    <col min="1" max="1" width="19.28515625" bestFit="1" customWidth="1"/>
    <col min="2" max="2" width="20.42578125" bestFit="1" customWidth="1"/>
    <col min="3" max="3" width="18" bestFit="1" customWidth="1"/>
    <col min="4" max="4" width="21.5703125" bestFit="1" customWidth="1"/>
    <col min="5" max="5" width="23.85546875" bestFit="1" customWidth="1"/>
    <col min="6" max="6" width="26.85546875" bestFit="1" customWidth="1"/>
  </cols>
  <sheetData>
    <row r="1" spans="1:2">
      <c r="A1" s="75" t="s">
        <v>1</v>
      </c>
      <c r="B1" t="s">
        <v>630</v>
      </c>
    </row>
    <row r="3" spans="1:2">
      <c r="A3" s="75" t="s">
        <v>46</v>
      </c>
      <c r="B3" t="s">
        <v>45</v>
      </c>
    </row>
    <row r="4" spans="1:2">
      <c r="A4" s="74" t="s">
        <v>64</v>
      </c>
      <c r="B4">
        <v>22</v>
      </c>
    </row>
    <row r="5" spans="1:2">
      <c r="A5" s="74" t="s">
        <v>66</v>
      </c>
      <c r="B5">
        <v>24</v>
      </c>
    </row>
    <row r="6" spans="1:2">
      <c r="A6" s="74" t="s">
        <v>55</v>
      </c>
      <c r="B6">
        <v>33</v>
      </c>
    </row>
    <row r="7" spans="1:2">
      <c r="A7" s="74" t="s">
        <v>11</v>
      </c>
      <c r="B7">
        <v>29</v>
      </c>
    </row>
    <row r="8" spans="1:2">
      <c r="A8" s="74" t="s">
        <v>15</v>
      </c>
      <c r="B8">
        <v>75</v>
      </c>
    </row>
    <row r="9" spans="1:2">
      <c r="A9" s="74" t="s">
        <v>47</v>
      </c>
      <c r="B9">
        <v>183</v>
      </c>
    </row>
  </sheetData>
  <pageMargins left="0.7" right="0.7" top="0.75" bottom="0.75" header="0.3" footer="0.3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DEFF4-2824-462E-9B36-D90501850424}">
  <sheetPr codeName="Foglio34"/>
  <dimension ref="A1:B9"/>
  <sheetViews>
    <sheetView workbookViewId="0">
      <selection activeCell="B7" sqref="B7"/>
    </sheetView>
  </sheetViews>
  <sheetFormatPr defaultRowHeight="15"/>
  <cols>
    <col min="1" max="1" width="22" bestFit="1" customWidth="1"/>
    <col min="2" max="2" width="20.42578125" bestFit="1" customWidth="1"/>
    <col min="3" max="4" width="21.5703125" bestFit="1" customWidth="1"/>
    <col min="5" max="5" width="23.85546875" bestFit="1" customWidth="1"/>
    <col min="6" max="6" width="26.85546875" bestFit="1" customWidth="1"/>
  </cols>
  <sheetData>
    <row r="1" spans="1:2">
      <c r="A1" s="75" t="s">
        <v>1</v>
      </c>
      <c r="B1" t="s">
        <v>11</v>
      </c>
    </row>
    <row r="3" spans="1:2">
      <c r="A3" s="75" t="s">
        <v>46</v>
      </c>
      <c r="B3" t="s">
        <v>45</v>
      </c>
    </row>
    <row r="4" spans="1:2">
      <c r="A4" s="74" t="s">
        <v>129</v>
      </c>
      <c r="B4">
        <v>2</v>
      </c>
    </row>
    <row r="5" spans="1:2">
      <c r="A5" s="74" t="s">
        <v>195</v>
      </c>
      <c r="B5">
        <v>1</v>
      </c>
    </row>
    <row r="6" spans="1:2">
      <c r="A6" s="74" t="s">
        <v>277</v>
      </c>
      <c r="B6">
        <v>2</v>
      </c>
    </row>
    <row r="7" spans="1:2">
      <c r="A7" s="74" t="s">
        <v>279</v>
      </c>
      <c r="B7">
        <v>23</v>
      </c>
    </row>
    <row r="8" spans="1:2">
      <c r="A8" s="74" t="s">
        <v>280</v>
      </c>
      <c r="B8">
        <v>1</v>
      </c>
    </row>
    <row r="9" spans="1:2">
      <c r="A9" s="74" t="s">
        <v>47</v>
      </c>
      <c r="B9">
        <v>29</v>
      </c>
    </row>
  </sheetData>
  <pageMargins left="0.7" right="0.7" top="0.75" bottom="0.75" header="0.3" footer="0.3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D590-9B7F-4F04-898F-BBC5933E7412}">
  <sheetPr codeName="Foglio35"/>
  <dimension ref="A1:B9"/>
  <sheetViews>
    <sheetView workbookViewId="0">
      <selection activeCell="K17" sqref="K17"/>
    </sheetView>
  </sheetViews>
  <sheetFormatPr defaultRowHeight="15"/>
  <cols>
    <col min="1" max="1" width="22" bestFit="1" customWidth="1"/>
    <col min="2" max="2" width="20.28515625" bestFit="1" customWidth="1"/>
    <col min="3" max="3" width="25.140625" bestFit="1" customWidth="1"/>
    <col min="4" max="4" width="22" bestFit="1" customWidth="1"/>
  </cols>
  <sheetData>
    <row r="1" spans="1:2">
      <c r="A1" s="75" t="s">
        <v>1</v>
      </c>
      <c r="B1" t="s">
        <v>11</v>
      </c>
    </row>
    <row r="3" spans="1:2">
      <c r="A3" s="75" t="s">
        <v>46</v>
      </c>
      <c r="B3" t="s">
        <v>344</v>
      </c>
    </row>
    <row r="4" spans="1:2">
      <c r="A4" s="74" t="s">
        <v>129</v>
      </c>
      <c r="B4" s="77">
        <v>0.6791666666666667</v>
      </c>
    </row>
    <row r="5" spans="1:2">
      <c r="A5" s="74" t="s">
        <v>195</v>
      </c>
      <c r="B5" s="77">
        <v>0.73359375000000004</v>
      </c>
    </row>
    <row r="6" spans="1:2">
      <c r="A6" s="74" t="s">
        <v>277</v>
      </c>
      <c r="B6" s="77">
        <v>0.42585499999999993</v>
      </c>
    </row>
    <row r="7" spans="1:2">
      <c r="A7" s="74" t="s">
        <v>279</v>
      </c>
      <c r="B7" s="77">
        <v>0.71413352272727271</v>
      </c>
    </row>
    <row r="8" spans="1:2">
      <c r="A8" s="74" t="s">
        <v>280</v>
      </c>
      <c r="B8" s="77">
        <v>0.65</v>
      </c>
    </row>
    <row r="9" spans="1:2">
      <c r="A9" s="74" t="s">
        <v>47</v>
      </c>
      <c r="B9" s="77">
        <v>0.6405497878787878</v>
      </c>
    </row>
  </sheetData>
  <pageMargins left="0.7" right="0.7" top="0.75" bottom="0.75" header="0.3" footer="0.3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3">
    <outlinePr summaryBelow="0" summaryRight="0"/>
  </sheetPr>
  <dimension ref="A1:F2031"/>
  <sheetViews>
    <sheetView workbookViewId="0">
      <pane ySplit="1" topLeftCell="A135" activePane="bottomLeft" state="frozen"/>
      <selection pane="bottomLeft" activeCell="E145" sqref="E145:E154"/>
    </sheetView>
  </sheetViews>
  <sheetFormatPr defaultColWidth="14.42578125" defaultRowHeight="15" customHeight="1"/>
  <cols>
    <col min="1" max="1" width="28.7109375" bestFit="1" customWidth="1"/>
    <col min="2" max="2" width="38.85546875" bestFit="1" customWidth="1"/>
    <col min="3" max="3" width="27.85546875" customWidth="1"/>
    <col min="4" max="4" width="14.42578125" style="16"/>
    <col min="5" max="5" width="17.5703125" style="16" bestFit="1" customWidth="1"/>
    <col min="6" max="6" width="14.42578125" style="16"/>
  </cols>
  <sheetData>
    <row r="1" spans="1:6">
      <c r="A1" s="6" t="s">
        <v>318</v>
      </c>
      <c r="B1" s="7" t="s">
        <v>17</v>
      </c>
      <c r="C1" s="7" t="s">
        <v>48</v>
      </c>
      <c r="D1" s="21" t="s">
        <v>320</v>
      </c>
      <c r="E1" s="21" t="s">
        <v>321</v>
      </c>
      <c r="F1" s="93" t="s">
        <v>626</v>
      </c>
    </row>
    <row r="2" spans="1:6">
      <c r="A2" s="8" t="s">
        <v>148</v>
      </c>
      <c r="B2" s="8" t="s">
        <v>147</v>
      </c>
      <c r="C2" s="9">
        <v>51</v>
      </c>
      <c r="D2" s="29"/>
      <c r="E2" s="68"/>
    </row>
    <row r="3" spans="1:6">
      <c r="A3" s="8" t="s">
        <v>15</v>
      </c>
      <c r="B3" s="8" t="s">
        <v>98</v>
      </c>
      <c r="C3" s="9">
        <v>101</v>
      </c>
      <c r="D3" s="29"/>
      <c r="E3" s="22">
        <v>0.2</v>
      </c>
    </row>
    <row r="4" spans="1:6">
      <c r="A4" s="10" t="s">
        <v>15</v>
      </c>
      <c r="B4" s="10" t="s">
        <v>99</v>
      </c>
      <c r="C4" s="11">
        <v>102</v>
      </c>
      <c r="D4" s="26"/>
      <c r="E4" s="23">
        <v>0.25</v>
      </c>
    </row>
    <row r="5" spans="1:6">
      <c r="A5" s="10" t="s">
        <v>15</v>
      </c>
      <c r="B5" s="10" t="s">
        <v>213</v>
      </c>
      <c r="C5" s="11">
        <v>104</v>
      </c>
      <c r="D5" s="26"/>
      <c r="E5" s="24">
        <v>0.28000000000000003</v>
      </c>
    </row>
    <row r="6" spans="1:6">
      <c r="A6" s="10" t="s">
        <v>15</v>
      </c>
      <c r="B6" s="10" t="s">
        <v>180</v>
      </c>
      <c r="C6" s="11">
        <v>109</v>
      </c>
      <c r="D6" s="26"/>
      <c r="E6" s="23">
        <v>0.3</v>
      </c>
    </row>
    <row r="7" spans="1:6">
      <c r="A7" s="10" t="s">
        <v>15</v>
      </c>
      <c r="B7" s="10" t="s">
        <v>345</v>
      </c>
      <c r="C7" s="11">
        <v>110</v>
      </c>
      <c r="D7" s="26"/>
      <c r="E7" s="23">
        <v>0.35</v>
      </c>
    </row>
    <row r="8" spans="1:6">
      <c r="A8" s="8" t="s">
        <v>15</v>
      </c>
      <c r="B8" s="8" t="s">
        <v>100</v>
      </c>
      <c r="C8" s="9">
        <v>111</v>
      </c>
      <c r="D8" s="29"/>
      <c r="E8" s="22">
        <v>0.36</v>
      </c>
    </row>
    <row r="9" spans="1:6">
      <c r="A9" s="8" t="s">
        <v>15</v>
      </c>
      <c r="B9" s="8" t="s">
        <v>323</v>
      </c>
      <c r="C9" s="9">
        <v>113</v>
      </c>
      <c r="D9" s="29"/>
      <c r="E9" s="22">
        <v>0.2</v>
      </c>
    </row>
    <row r="10" spans="1:6">
      <c r="A10" s="10" t="s">
        <v>15</v>
      </c>
      <c r="B10" s="10" t="s">
        <v>40</v>
      </c>
      <c r="C10" s="11">
        <v>115</v>
      </c>
      <c r="D10" s="26"/>
      <c r="E10" s="23">
        <v>0.3</v>
      </c>
    </row>
    <row r="11" spans="1:6">
      <c r="A11" s="8" t="s">
        <v>15</v>
      </c>
      <c r="B11" s="8" t="s">
        <v>124</v>
      </c>
      <c r="C11" s="9">
        <v>116</v>
      </c>
      <c r="D11" s="29"/>
      <c r="E11" s="22">
        <v>0.46</v>
      </c>
    </row>
    <row r="12" spans="1:6">
      <c r="A12" s="10" t="s">
        <v>15</v>
      </c>
      <c r="B12" s="10" t="s">
        <v>125</v>
      </c>
      <c r="C12" s="11">
        <v>118</v>
      </c>
      <c r="D12" s="26"/>
      <c r="E12" s="23">
        <v>0.4</v>
      </c>
    </row>
    <row r="13" spans="1:6">
      <c r="A13" s="8" t="s">
        <v>15</v>
      </c>
      <c r="B13" s="8" t="s">
        <v>101</v>
      </c>
      <c r="C13" s="9">
        <v>120</v>
      </c>
      <c r="D13" s="29"/>
      <c r="E13" s="25">
        <v>0.35</v>
      </c>
    </row>
    <row r="14" spans="1:6">
      <c r="A14" s="8" t="s">
        <v>15</v>
      </c>
      <c r="B14" s="8" t="s">
        <v>41</v>
      </c>
      <c r="C14" s="9">
        <v>124</v>
      </c>
      <c r="D14" s="29"/>
      <c r="E14" s="22">
        <v>0.38</v>
      </c>
    </row>
    <row r="15" spans="1:6">
      <c r="A15" s="10" t="s">
        <v>15</v>
      </c>
      <c r="B15" s="10" t="s">
        <v>202</v>
      </c>
      <c r="C15" s="11">
        <v>125</v>
      </c>
      <c r="D15" s="26">
        <v>1.53</v>
      </c>
      <c r="E15" s="24">
        <f>+(Tabella2[[#This Row],[COSTO TOT.]]/100)*25</f>
        <v>0.38250000000000001</v>
      </c>
    </row>
    <row r="16" spans="1:6">
      <c r="A16" s="8" t="s">
        <v>15</v>
      </c>
      <c r="B16" s="8" t="s">
        <v>301</v>
      </c>
      <c r="C16" s="8">
        <v>126</v>
      </c>
      <c r="D16" s="22"/>
      <c r="E16" s="22">
        <v>0.1</v>
      </c>
    </row>
    <row r="17" spans="1:5">
      <c r="A17" s="10" t="s">
        <v>15</v>
      </c>
      <c r="B17" s="10" t="s">
        <v>304</v>
      </c>
      <c r="C17" s="11">
        <v>128</v>
      </c>
      <c r="D17" s="26"/>
      <c r="E17" s="23">
        <v>0.1</v>
      </c>
    </row>
    <row r="18" spans="1:5">
      <c r="A18" s="8" t="s">
        <v>15</v>
      </c>
      <c r="B18" s="8" t="s">
        <v>139</v>
      </c>
      <c r="C18" s="9">
        <v>129</v>
      </c>
      <c r="D18" s="29">
        <v>109</v>
      </c>
      <c r="E18" s="22">
        <f>+Tabella2[[#This Row],[COSTO TOT.]]/96</f>
        <v>1.1354166666666667</v>
      </c>
    </row>
    <row r="19" spans="1:5">
      <c r="A19" s="10" t="s">
        <v>15</v>
      </c>
      <c r="B19" s="10" t="s">
        <v>319</v>
      </c>
      <c r="C19" s="11">
        <v>130</v>
      </c>
      <c r="D19" s="26"/>
      <c r="E19" s="23">
        <v>0.34</v>
      </c>
    </row>
    <row r="20" spans="1:5">
      <c r="A20" s="10" t="s">
        <v>15</v>
      </c>
      <c r="B20" s="8" t="s">
        <v>141</v>
      </c>
      <c r="C20" s="9">
        <v>130</v>
      </c>
      <c r="D20" s="29"/>
      <c r="E20" s="22">
        <v>0.9</v>
      </c>
    </row>
    <row r="21" spans="1:5">
      <c r="A21" s="10" t="s">
        <v>15</v>
      </c>
      <c r="B21" s="10" t="s">
        <v>242</v>
      </c>
      <c r="C21" s="11">
        <v>131</v>
      </c>
      <c r="D21" s="26"/>
      <c r="E21" s="26">
        <v>0.7</v>
      </c>
    </row>
    <row r="22" spans="1:5">
      <c r="A22" s="10" t="s">
        <v>15</v>
      </c>
      <c r="B22" s="10" t="s">
        <v>104</v>
      </c>
      <c r="C22" s="11">
        <v>132</v>
      </c>
      <c r="D22" s="26"/>
      <c r="E22" s="23">
        <v>0.22</v>
      </c>
    </row>
    <row r="23" spans="1:5">
      <c r="A23" s="8" t="s">
        <v>15</v>
      </c>
      <c r="B23" s="8" t="s">
        <v>103</v>
      </c>
      <c r="C23" s="9">
        <v>133</v>
      </c>
      <c r="D23" s="29"/>
      <c r="E23" s="22">
        <v>0.22</v>
      </c>
    </row>
    <row r="24" spans="1:5">
      <c r="A24" s="10" t="s">
        <v>15</v>
      </c>
      <c r="B24" s="10" t="s">
        <v>126</v>
      </c>
      <c r="C24" s="33">
        <v>134</v>
      </c>
      <c r="D24" s="26"/>
      <c r="E24" s="23">
        <v>0.4</v>
      </c>
    </row>
    <row r="25" spans="1:5">
      <c r="A25" s="10" t="s">
        <v>15</v>
      </c>
      <c r="B25" s="10" t="s">
        <v>155</v>
      </c>
      <c r="C25" s="13">
        <v>136</v>
      </c>
      <c r="D25" s="26"/>
      <c r="E25" s="24">
        <v>0.95</v>
      </c>
    </row>
    <row r="26" spans="1:5">
      <c r="A26" s="10" t="s">
        <v>15</v>
      </c>
      <c r="B26" s="10" t="s">
        <v>179</v>
      </c>
      <c r="C26" s="11">
        <v>147</v>
      </c>
      <c r="D26" s="26"/>
      <c r="E26" s="23">
        <v>0.3</v>
      </c>
    </row>
    <row r="27" spans="1:5">
      <c r="A27" s="10" t="s">
        <v>15</v>
      </c>
      <c r="B27" s="10" t="s">
        <v>330</v>
      </c>
      <c r="C27" s="11">
        <v>148</v>
      </c>
      <c r="D27" s="26"/>
      <c r="E27" s="23">
        <v>0.35</v>
      </c>
    </row>
    <row r="28" spans="1:5">
      <c r="A28" s="10" t="s">
        <v>15</v>
      </c>
      <c r="B28" s="10" t="s">
        <v>105</v>
      </c>
      <c r="C28" s="10">
        <v>149</v>
      </c>
      <c r="D28" s="26"/>
      <c r="E28" s="24">
        <v>0.2</v>
      </c>
    </row>
    <row r="29" spans="1:5">
      <c r="A29" s="8" t="s">
        <v>15</v>
      </c>
      <c r="B29" s="8" t="s">
        <v>102</v>
      </c>
      <c r="C29" s="9">
        <v>150</v>
      </c>
      <c r="D29" s="29"/>
      <c r="E29" s="22">
        <v>0.2</v>
      </c>
    </row>
    <row r="30" spans="1:5">
      <c r="A30" s="8" t="s">
        <v>15</v>
      </c>
      <c r="B30" s="8" t="s">
        <v>272</v>
      </c>
      <c r="C30" s="12">
        <v>151</v>
      </c>
      <c r="D30" s="29"/>
      <c r="E30" s="25">
        <v>0.1</v>
      </c>
    </row>
    <row r="31" spans="1:5">
      <c r="A31" s="10" t="s">
        <v>15</v>
      </c>
      <c r="B31" s="10" t="s">
        <v>50</v>
      </c>
      <c r="C31" s="11">
        <v>152</v>
      </c>
      <c r="D31" s="26"/>
      <c r="E31" s="24">
        <v>0.14000000000000001</v>
      </c>
    </row>
    <row r="32" spans="1:5">
      <c r="A32" s="8" t="s">
        <v>15</v>
      </c>
      <c r="B32" s="8" t="s">
        <v>49</v>
      </c>
      <c r="C32" s="9">
        <v>153</v>
      </c>
      <c r="D32" s="29"/>
      <c r="E32" s="25">
        <v>0.14000000000000001</v>
      </c>
    </row>
    <row r="33" spans="1:5">
      <c r="A33" s="8" t="s">
        <v>15</v>
      </c>
      <c r="B33" s="8" t="s">
        <v>243</v>
      </c>
      <c r="C33" s="9">
        <v>155</v>
      </c>
      <c r="D33" s="29"/>
      <c r="E33" s="22">
        <v>0.3</v>
      </c>
    </row>
    <row r="34" spans="1:5">
      <c r="A34" s="8" t="s">
        <v>15</v>
      </c>
      <c r="B34" s="8" t="s">
        <v>207</v>
      </c>
      <c r="C34" s="9">
        <v>156</v>
      </c>
      <c r="D34" s="29"/>
      <c r="E34" s="22">
        <v>0.32</v>
      </c>
    </row>
    <row r="35" spans="1:5">
      <c r="A35" s="8" t="s">
        <v>15</v>
      </c>
      <c r="B35" s="8" t="s">
        <v>615</v>
      </c>
      <c r="C35" s="9">
        <v>162</v>
      </c>
      <c r="D35" s="29"/>
      <c r="E35" s="22">
        <v>1.1000000000000001</v>
      </c>
    </row>
    <row r="36" spans="1:5">
      <c r="A36" s="8" t="s">
        <v>15</v>
      </c>
      <c r="B36" s="8" t="s">
        <v>219</v>
      </c>
      <c r="C36" s="9">
        <v>166</v>
      </c>
      <c r="D36" s="29">
        <v>34.4</v>
      </c>
      <c r="E36" s="22">
        <f>+Tabella2[[#This Row],[COSTO TOT.]]/90</f>
        <v>0.38222222222222219</v>
      </c>
    </row>
    <row r="37" spans="1:5">
      <c r="A37" s="10" t="s">
        <v>15</v>
      </c>
      <c r="B37" s="10" t="s">
        <v>225</v>
      </c>
      <c r="C37" s="11">
        <v>167</v>
      </c>
      <c r="D37" s="26">
        <v>42.05</v>
      </c>
      <c r="E37" s="23">
        <f>+Tabella2[[#This Row],[COSTO TOT.]]/30</f>
        <v>1.4016666666666666</v>
      </c>
    </row>
    <row r="38" spans="1:5">
      <c r="A38" s="8" t="s">
        <v>15</v>
      </c>
      <c r="B38" s="8" t="s">
        <v>165</v>
      </c>
      <c r="C38" s="19">
        <v>168</v>
      </c>
      <c r="D38" s="29">
        <v>37.979999999999997</v>
      </c>
      <c r="E38" s="22">
        <f>+Tabella2[[#This Row],[COSTO TOT.]]/36</f>
        <v>1.0549999999999999</v>
      </c>
    </row>
    <row r="39" spans="1:5">
      <c r="A39" s="8" t="s">
        <v>15</v>
      </c>
      <c r="B39" s="8" t="s">
        <v>181</v>
      </c>
      <c r="C39" s="9">
        <v>169</v>
      </c>
      <c r="D39" s="29"/>
      <c r="E39" s="25">
        <v>0.32</v>
      </c>
    </row>
    <row r="40" spans="1:5">
      <c r="A40" s="8" t="s">
        <v>15</v>
      </c>
      <c r="B40" s="8" t="s">
        <v>140</v>
      </c>
      <c r="C40" s="9">
        <v>170</v>
      </c>
      <c r="D40" s="29">
        <v>109</v>
      </c>
      <c r="E40" s="22">
        <f>+Tabella2[[#This Row],[COSTO TOT.]]/96</f>
        <v>1.1354166666666667</v>
      </c>
    </row>
    <row r="41" spans="1:5">
      <c r="A41" s="10" t="s">
        <v>15</v>
      </c>
      <c r="B41" s="10" t="s">
        <v>142</v>
      </c>
      <c r="C41" s="11">
        <v>173</v>
      </c>
      <c r="D41" s="29">
        <v>109</v>
      </c>
      <c r="E41" s="22">
        <f>+Tabella2[[#This Row],[COSTO TOT.]]/96</f>
        <v>1.1354166666666667</v>
      </c>
    </row>
    <row r="42" spans="1:5">
      <c r="A42" s="10" t="s">
        <v>15</v>
      </c>
      <c r="B42" s="10" t="s">
        <v>346</v>
      </c>
      <c r="C42" s="11">
        <v>177</v>
      </c>
      <c r="D42" s="29">
        <v>34.4</v>
      </c>
      <c r="E42" s="22">
        <f>+Tabella2[[#This Row],[COSTO TOT.]]/90</f>
        <v>0.38222222222222219</v>
      </c>
    </row>
    <row r="43" spans="1:5">
      <c r="A43" s="10" t="s">
        <v>15</v>
      </c>
      <c r="B43" s="10" t="s">
        <v>616</v>
      </c>
      <c r="C43" s="11">
        <v>178</v>
      </c>
      <c r="D43" s="29"/>
      <c r="E43" s="22">
        <v>0.38</v>
      </c>
    </row>
    <row r="44" spans="1:5">
      <c r="A44" s="10" t="s">
        <v>55</v>
      </c>
      <c r="B44" s="10" t="s">
        <v>54</v>
      </c>
      <c r="C44" s="11">
        <v>201</v>
      </c>
      <c r="D44" s="26">
        <v>6.5572999999999997</v>
      </c>
      <c r="E44" s="24">
        <f>+((Tabella2[[#This Row],[COSTO TOT.]]/12)/1)*0.25</f>
        <v>0.13661041666666665</v>
      </c>
    </row>
    <row r="45" spans="1:5">
      <c r="A45" s="10" t="s">
        <v>55</v>
      </c>
      <c r="B45" s="10" t="s">
        <v>56</v>
      </c>
      <c r="C45" s="13">
        <v>202</v>
      </c>
      <c r="D45" s="26">
        <v>6.5572999999999997</v>
      </c>
      <c r="E45" s="24">
        <f>+((Tabella2[[#This Row],[COSTO TOT.]]/12)/1)*0.25</f>
        <v>0.13661041666666665</v>
      </c>
    </row>
    <row r="46" spans="1:5">
      <c r="A46" s="10" t="s">
        <v>55</v>
      </c>
      <c r="B46" s="10" t="s">
        <v>59</v>
      </c>
      <c r="C46" s="11">
        <v>203</v>
      </c>
      <c r="D46" s="26"/>
      <c r="E46" s="23">
        <v>0.2</v>
      </c>
    </row>
    <row r="47" spans="1:5">
      <c r="A47" s="8" t="s">
        <v>55</v>
      </c>
      <c r="B47" s="8" t="s">
        <v>62</v>
      </c>
      <c r="C47" s="9">
        <v>204</v>
      </c>
      <c r="D47" s="29">
        <v>6.5580999999999996</v>
      </c>
      <c r="E47" s="25">
        <f>+Tabella2[[#This Row],[COSTO TOT.]]/24</f>
        <v>0.27325416666666663</v>
      </c>
    </row>
    <row r="48" spans="1:5">
      <c r="A48" s="8" t="s">
        <v>55</v>
      </c>
      <c r="B48" s="8" t="s">
        <v>60</v>
      </c>
      <c r="C48" s="9">
        <v>205</v>
      </c>
      <c r="D48" s="29">
        <v>8.64</v>
      </c>
      <c r="E48" s="22">
        <f>+Tabella2[[#This Row],[COSTO TOT.]]/16</f>
        <v>0.54</v>
      </c>
    </row>
    <row r="49" spans="1:5">
      <c r="A49" s="8" t="s">
        <v>55</v>
      </c>
      <c r="B49" s="8" t="s">
        <v>63</v>
      </c>
      <c r="C49" s="9">
        <v>206</v>
      </c>
      <c r="D49" s="29">
        <v>9.1199999999999992</v>
      </c>
      <c r="E49" s="22">
        <f>+Tabella2[[#This Row],[COSTO TOT.]]/16</f>
        <v>0.56999999999999995</v>
      </c>
    </row>
    <row r="50" spans="1:5">
      <c r="A50" s="8" t="s">
        <v>55</v>
      </c>
      <c r="B50" s="8" t="s">
        <v>204</v>
      </c>
      <c r="C50" s="9">
        <v>208</v>
      </c>
      <c r="D50" s="29">
        <v>12.5</v>
      </c>
      <c r="E50" s="22">
        <f>+Tabella2[[#This Row],[COSTO TOT.]]/24</f>
        <v>0.52083333333333337</v>
      </c>
    </row>
    <row r="51" spans="1:5">
      <c r="A51" s="10" t="s">
        <v>55</v>
      </c>
      <c r="B51" s="10" t="s">
        <v>31</v>
      </c>
      <c r="C51" s="10">
        <v>209</v>
      </c>
      <c r="D51" s="26"/>
      <c r="E51" s="24">
        <v>0.66</v>
      </c>
    </row>
    <row r="52" spans="1:5">
      <c r="A52" s="10" t="s">
        <v>55</v>
      </c>
      <c r="B52" s="10" t="s">
        <v>617</v>
      </c>
      <c r="C52" s="10">
        <v>210</v>
      </c>
      <c r="D52" s="26"/>
      <c r="E52" s="24">
        <v>0.7</v>
      </c>
    </row>
    <row r="53" spans="1:5">
      <c r="A53" s="8" t="s">
        <v>55</v>
      </c>
      <c r="B53" s="8" t="s">
        <v>14</v>
      </c>
      <c r="C53" s="9">
        <v>211</v>
      </c>
      <c r="D53" s="29">
        <v>14.93</v>
      </c>
      <c r="E53" s="25">
        <f>+Tabella2[[#This Row],[COSTO TOT.]]/24</f>
        <v>0.62208333333333332</v>
      </c>
    </row>
    <row r="54" spans="1:5">
      <c r="A54" s="11" t="s">
        <v>55</v>
      </c>
      <c r="B54" s="10" t="s">
        <v>12</v>
      </c>
      <c r="C54" s="11">
        <v>212</v>
      </c>
      <c r="D54" s="26"/>
      <c r="E54" s="23">
        <v>0.66</v>
      </c>
    </row>
    <row r="55" spans="1:5">
      <c r="A55" s="10" t="s">
        <v>55</v>
      </c>
      <c r="B55" s="10" t="s">
        <v>306</v>
      </c>
      <c r="C55" s="11">
        <v>214</v>
      </c>
      <c r="D55" s="26"/>
      <c r="E55" s="23">
        <v>0.98</v>
      </c>
    </row>
    <row r="56" spans="1:5">
      <c r="A56" s="10" t="s">
        <v>55</v>
      </c>
      <c r="B56" s="10" t="s">
        <v>36</v>
      </c>
      <c r="C56" s="11">
        <v>215</v>
      </c>
      <c r="D56" s="26">
        <v>13.5245</v>
      </c>
      <c r="E56" s="23">
        <f>+Tabella2[[#This Row],[COSTO TOT.]]/24</f>
        <v>0.56352083333333336</v>
      </c>
    </row>
    <row r="57" spans="1:5">
      <c r="A57" s="10" t="s">
        <v>55</v>
      </c>
      <c r="B57" s="10" t="s">
        <v>35</v>
      </c>
      <c r="C57" s="11">
        <v>216</v>
      </c>
      <c r="D57" s="26">
        <v>13.5245</v>
      </c>
      <c r="E57" s="23">
        <f>+Tabella2[[#This Row],[COSTO TOT.]]/24</f>
        <v>0.56352083333333336</v>
      </c>
    </row>
    <row r="58" spans="1:5">
      <c r="A58" s="10" t="s">
        <v>55</v>
      </c>
      <c r="B58" s="10" t="s">
        <v>302</v>
      </c>
      <c r="C58" s="11">
        <v>217</v>
      </c>
      <c r="D58" s="26">
        <v>13.5245</v>
      </c>
      <c r="E58" s="23">
        <f>+Tabella2[[#This Row],[COSTO TOT.]]/24</f>
        <v>0.56352083333333336</v>
      </c>
    </row>
    <row r="59" spans="1:5">
      <c r="A59" s="10" t="s">
        <v>55</v>
      </c>
      <c r="B59" s="10" t="s">
        <v>284</v>
      </c>
      <c r="C59" s="13">
        <v>218</v>
      </c>
      <c r="D59" s="26"/>
      <c r="E59" s="24">
        <v>1.2</v>
      </c>
    </row>
    <row r="60" spans="1:5">
      <c r="A60" s="10" t="s">
        <v>55</v>
      </c>
      <c r="B60" s="10" t="s">
        <v>290</v>
      </c>
      <c r="C60" s="11">
        <v>219</v>
      </c>
      <c r="D60" s="26">
        <v>13.52</v>
      </c>
      <c r="E60" s="23">
        <f>+Tabella2[[#This Row],[COSTO TOT.]]/24</f>
        <v>0.56333333333333335</v>
      </c>
    </row>
    <row r="61" spans="1:5">
      <c r="A61" s="10" t="s">
        <v>55</v>
      </c>
      <c r="B61" s="10" t="s">
        <v>32</v>
      </c>
      <c r="C61" s="33">
        <v>224</v>
      </c>
      <c r="D61" s="26">
        <v>16.78</v>
      </c>
      <c r="E61" s="23">
        <f>+Tabella2[[#This Row],[COSTO TOT.]]/24</f>
        <v>0.69916666666666671</v>
      </c>
    </row>
    <row r="62" spans="1:5">
      <c r="A62" s="8" t="s">
        <v>55</v>
      </c>
      <c r="B62" s="8" t="s">
        <v>291</v>
      </c>
      <c r="C62" s="9">
        <v>225</v>
      </c>
      <c r="D62" s="26">
        <v>13.52</v>
      </c>
      <c r="E62" s="23">
        <f>+Tabella2[[#This Row],[COSTO TOT.]]/24</f>
        <v>0.56333333333333335</v>
      </c>
    </row>
    <row r="63" spans="1:5">
      <c r="A63" s="10" t="s">
        <v>55</v>
      </c>
      <c r="B63" s="10" t="s">
        <v>33</v>
      </c>
      <c r="C63" s="11">
        <v>226</v>
      </c>
      <c r="D63" s="26">
        <v>13.52</v>
      </c>
      <c r="E63" s="23">
        <f>+Tabella2[[#This Row],[COSTO TOT.]]/24</f>
        <v>0.56333333333333335</v>
      </c>
    </row>
    <row r="64" spans="1:5">
      <c r="A64" s="8" t="s">
        <v>55</v>
      </c>
      <c r="B64" s="8" t="s">
        <v>34</v>
      </c>
      <c r="C64" s="9">
        <v>227</v>
      </c>
      <c r="D64" s="26">
        <v>13.52</v>
      </c>
      <c r="E64" s="23">
        <f>+Tabella2[[#This Row],[COSTO TOT.]]/24</f>
        <v>0.56333333333333335</v>
      </c>
    </row>
    <row r="65" spans="1:5">
      <c r="A65" s="32" t="s">
        <v>55</v>
      </c>
      <c r="B65" s="10" t="s">
        <v>292</v>
      </c>
      <c r="C65" s="11">
        <v>232</v>
      </c>
      <c r="D65" s="26">
        <v>16.78</v>
      </c>
      <c r="E65" s="23">
        <f>+Tabella2[[#This Row],[COSTO TOT.]]/24</f>
        <v>0.69916666666666671</v>
      </c>
    </row>
    <row r="66" spans="1:5">
      <c r="A66" s="10" t="s">
        <v>55</v>
      </c>
      <c r="B66" s="10" t="s">
        <v>255</v>
      </c>
      <c r="C66" s="11">
        <v>235</v>
      </c>
      <c r="D66" s="26"/>
      <c r="E66" s="24">
        <v>1.03</v>
      </c>
    </row>
    <row r="67" spans="1:5">
      <c r="A67" s="8" t="s">
        <v>55</v>
      </c>
      <c r="B67" s="8" t="s">
        <v>135</v>
      </c>
      <c r="C67" s="9">
        <v>237</v>
      </c>
      <c r="D67" s="29"/>
      <c r="E67" s="22">
        <v>0.95</v>
      </c>
    </row>
    <row r="68" spans="1:5">
      <c r="A68" s="8" t="s">
        <v>55</v>
      </c>
      <c r="B68" s="8" t="s">
        <v>26</v>
      </c>
      <c r="C68" s="9">
        <v>238</v>
      </c>
      <c r="D68" s="29">
        <v>25</v>
      </c>
      <c r="E68" s="22">
        <f>+Tabella2[[#This Row],[COSTO TOT.]]/24</f>
        <v>1.0416666666666667</v>
      </c>
    </row>
    <row r="69" spans="1:5">
      <c r="A69" s="8" t="s">
        <v>55</v>
      </c>
      <c r="B69" s="8" t="s">
        <v>25</v>
      </c>
      <c r="C69" s="9">
        <v>239</v>
      </c>
      <c r="D69" s="29">
        <v>25</v>
      </c>
      <c r="E69" s="22">
        <f>+Tabella2[[#This Row],[COSTO TOT.]]/24</f>
        <v>1.0416666666666667</v>
      </c>
    </row>
    <row r="70" spans="1:5">
      <c r="A70" s="10" t="s">
        <v>55</v>
      </c>
      <c r="B70" s="10" t="s">
        <v>273</v>
      </c>
      <c r="C70" s="11">
        <v>248</v>
      </c>
      <c r="D70" s="26">
        <v>15.688000000000001</v>
      </c>
      <c r="E70" s="23">
        <f>Tabella2[[#This Row],[COSTO TOT.]]/24</f>
        <v>0.65366666666666673</v>
      </c>
    </row>
    <row r="71" spans="1:5">
      <c r="A71" s="10" t="s">
        <v>55</v>
      </c>
      <c r="B71" s="10" t="s">
        <v>20</v>
      </c>
      <c r="C71" s="11">
        <v>250</v>
      </c>
      <c r="D71" s="26">
        <v>14.344200000000001</v>
      </c>
      <c r="E71" s="24">
        <f>+Tabella2[[#This Row],[COSTO TOT.]]/24</f>
        <v>0.59767500000000007</v>
      </c>
    </row>
    <row r="72" spans="1:5">
      <c r="A72" s="8" t="s">
        <v>55</v>
      </c>
      <c r="B72" s="8" t="s">
        <v>143</v>
      </c>
      <c r="C72" s="9">
        <v>251</v>
      </c>
      <c r="D72" s="29"/>
      <c r="E72" s="22">
        <v>0.66</v>
      </c>
    </row>
    <row r="73" spans="1:5">
      <c r="A73" s="10" t="s">
        <v>66</v>
      </c>
      <c r="B73" s="10" t="s">
        <v>159</v>
      </c>
      <c r="C73" s="11">
        <v>301</v>
      </c>
      <c r="D73" s="26">
        <v>30.5</v>
      </c>
      <c r="E73" s="23">
        <f>+Tabella2[[#This Row],[COSTO TOT.]]/48</f>
        <v>0.63541666666666663</v>
      </c>
    </row>
    <row r="74" spans="1:5">
      <c r="A74" s="8" t="s">
        <v>66</v>
      </c>
      <c r="B74" s="8" t="s">
        <v>268</v>
      </c>
      <c r="C74" s="9">
        <v>302</v>
      </c>
      <c r="D74" s="29"/>
      <c r="E74" s="25">
        <v>0.75</v>
      </c>
    </row>
    <row r="75" spans="1:5">
      <c r="A75" s="8" t="s">
        <v>66</v>
      </c>
      <c r="B75" s="8" t="s">
        <v>13</v>
      </c>
      <c r="C75" s="9">
        <v>303</v>
      </c>
      <c r="D75" s="29">
        <v>14.754</v>
      </c>
      <c r="E75" s="22">
        <f>+Tabella2[[#This Row],[COSTO TOT.]]/24</f>
        <v>0.61475000000000002</v>
      </c>
    </row>
    <row r="76" spans="1:5">
      <c r="A76" s="8" t="s">
        <v>66</v>
      </c>
      <c r="B76" s="8" t="s">
        <v>19</v>
      </c>
      <c r="C76" s="8">
        <v>304</v>
      </c>
      <c r="D76" s="29"/>
      <c r="E76" s="25">
        <v>0.89</v>
      </c>
    </row>
    <row r="77" spans="1:5">
      <c r="A77" s="8" t="s">
        <v>66</v>
      </c>
      <c r="B77" s="8" t="s">
        <v>83</v>
      </c>
      <c r="C77" s="9">
        <v>309</v>
      </c>
      <c r="D77" s="29">
        <f>+(15+17.21)/2</f>
        <v>16.105</v>
      </c>
      <c r="E77" s="22">
        <f>+((Tabella2[[#This Row],[COSTO TOT.]])/100)*5</f>
        <v>0.80525000000000002</v>
      </c>
    </row>
    <row r="78" spans="1:5">
      <c r="A78" s="10" t="s">
        <v>66</v>
      </c>
      <c r="B78" s="10" t="s">
        <v>22</v>
      </c>
      <c r="C78" s="11">
        <v>311</v>
      </c>
      <c r="D78" s="26"/>
      <c r="E78" s="23">
        <v>0.95</v>
      </c>
    </row>
    <row r="79" spans="1:5">
      <c r="A79" s="10" t="s">
        <v>66</v>
      </c>
      <c r="B79" s="10" t="s">
        <v>70</v>
      </c>
      <c r="C79" s="13">
        <v>315</v>
      </c>
      <c r="D79" s="26"/>
      <c r="E79" s="24">
        <v>1.6</v>
      </c>
    </row>
    <row r="80" spans="1:5">
      <c r="A80" s="8" t="s">
        <v>66</v>
      </c>
      <c r="B80" s="8" t="s">
        <v>69</v>
      </c>
      <c r="C80" s="12">
        <v>316</v>
      </c>
      <c r="D80" s="29"/>
      <c r="E80" s="25">
        <v>1.7</v>
      </c>
    </row>
    <row r="81" spans="1:5">
      <c r="A81" s="10" t="s">
        <v>66</v>
      </c>
      <c r="B81" s="10" t="s">
        <v>132</v>
      </c>
      <c r="C81" s="11">
        <v>317</v>
      </c>
      <c r="D81" s="26"/>
      <c r="E81" s="23">
        <v>1.71</v>
      </c>
    </row>
    <row r="82" spans="1:5">
      <c r="A82" s="8" t="s">
        <v>66</v>
      </c>
      <c r="B82" s="8" t="s">
        <v>42</v>
      </c>
      <c r="C82" s="9">
        <v>318</v>
      </c>
      <c r="D82" s="29"/>
      <c r="E82" s="22">
        <v>1.34</v>
      </c>
    </row>
    <row r="83" spans="1:5">
      <c r="A83" s="8" t="s">
        <v>66</v>
      </c>
      <c r="B83" s="8" t="s">
        <v>43</v>
      </c>
      <c r="C83" s="9">
        <v>319</v>
      </c>
      <c r="D83" s="29"/>
      <c r="E83" s="22">
        <v>1.65</v>
      </c>
    </row>
    <row r="84" spans="1:5">
      <c r="A84" s="10" t="s">
        <v>66</v>
      </c>
      <c r="B84" s="10" t="s">
        <v>285</v>
      </c>
      <c r="C84" s="11">
        <v>320</v>
      </c>
      <c r="D84" s="26"/>
      <c r="E84" s="23">
        <v>1.81</v>
      </c>
    </row>
    <row r="85" spans="1:5">
      <c r="A85" s="8" t="s">
        <v>66</v>
      </c>
      <c r="B85" s="8" t="s">
        <v>286</v>
      </c>
      <c r="C85" s="9">
        <v>321</v>
      </c>
      <c r="D85" s="29"/>
      <c r="E85" s="22">
        <v>2.08</v>
      </c>
    </row>
    <row r="86" spans="1:5">
      <c r="A86" s="10" t="s">
        <v>66</v>
      </c>
      <c r="B86" s="10" t="s">
        <v>287</v>
      </c>
      <c r="C86" s="11">
        <v>322</v>
      </c>
      <c r="D86" s="26"/>
      <c r="E86" s="23">
        <v>2.5099999999999998</v>
      </c>
    </row>
    <row r="87" spans="1:5">
      <c r="A87" s="10" t="s">
        <v>66</v>
      </c>
      <c r="B87" s="10" t="s">
        <v>288</v>
      </c>
      <c r="C87" s="11">
        <v>328</v>
      </c>
      <c r="D87" s="26"/>
      <c r="E87" s="23">
        <v>1.93</v>
      </c>
    </row>
    <row r="88" spans="1:5">
      <c r="A88" s="10" t="s">
        <v>11</v>
      </c>
      <c r="B88" s="10" t="s">
        <v>279</v>
      </c>
      <c r="C88" s="11">
        <v>401</v>
      </c>
      <c r="D88" s="26">
        <v>105</v>
      </c>
      <c r="E88" s="24">
        <f>+(Tabella2[[#This Row],[COSTO TOT.]]/30)*0.25</f>
        <v>0.875</v>
      </c>
    </row>
    <row r="89" spans="1:5">
      <c r="A89" s="8" t="s">
        <v>11</v>
      </c>
      <c r="B89" s="8" t="s">
        <v>280</v>
      </c>
      <c r="C89" s="9">
        <v>402</v>
      </c>
      <c r="D89" s="26">
        <v>105</v>
      </c>
      <c r="E89" s="24">
        <f>+(Tabella2[[#This Row],[COSTO TOT.]]/30)*0.5</f>
        <v>1.75</v>
      </c>
    </row>
    <row r="90" spans="1:5">
      <c r="A90" s="8" t="s">
        <v>11</v>
      </c>
      <c r="B90" s="8" t="s">
        <v>281</v>
      </c>
      <c r="C90" s="20">
        <v>403</v>
      </c>
      <c r="D90" s="29">
        <v>94.9</v>
      </c>
      <c r="E90" s="24">
        <f>+(Tabella2[[#This Row],[COSTO TOT.]]/30)*0.2</f>
        <v>0.63266666666666671</v>
      </c>
    </row>
    <row r="91" spans="1:5">
      <c r="A91" s="10" t="s">
        <v>11</v>
      </c>
      <c r="B91" s="10" t="s">
        <v>282</v>
      </c>
      <c r="C91" s="11">
        <v>404</v>
      </c>
      <c r="D91" s="29">
        <v>94.9</v>
      </c>
      <c r="E91" s="24">
        <f>+(Tabella2[[#This Row],[COSTO TOT.]]/30)*0.5</f>
        <v>1.5816666666666668</v>
      </c>
    </row>
    <row r="92" spans="1:5">
      <c r="A92" s="8" t="s">
        <v>11</v>
      </c>
      <c r="B92" s="8" t="s">
        <v>283</v>
      </c>
      <c r="C92" s="9">
        <v>405</v>
      </c>
      <c r="D92" s="29">
        <v>114.5</v>
      </c>
      <c r="E92" s="24">
        <f>+(Tabella2[[#This Row],[COSTO TOT.]]/20)*0.4</f>
        <v>2.29</v>
      </c>
    </row>
    <row r="93" spans="1:5">
      <c r="A93" s="10" t="s">
        <v>11</v>
      </c>
      <c r="B93" s="10" t="s">
        <v>277</v>
      </c>
      <c r="C93" s="11">
        <v>407</v>
      </c>
      <c r="D93" s="29">
        <v>94.9</v>
      </c>
      <c r="E93" s="24">
        <f>+(Tabella2[[#This Row],[COSTO TOT.]]/15)*0.33</f>
        <v>2.0878000000000001</v>
      </c>
    </row>
    <row r="94" spans="1:5">
      <c r="A94" s="10" t="s">
        <v>11</v>
      </c>
      <c r="B94" s="10" t="s">
        <v>278</v>
      </c>
      <c r="C94" s="11">
        <v>408</v>
      </c>
      <c r="D94" s="29">
        <v>94.9</v>
      </c>
      <c r="E94" s="24">
        <f>+(Tabella2[[#This Row],[COSTO TOT.]]/15)*0.5</f>
        <v>3.1633333333333336</v>
      </c>
    </row>
    <row r="95" spans="1:5">
      <c r="A95" s="8" t="s">
        <v>11</v>
      </c>
      <c r="B95" s="8" t="s">
        <v>73</v>
      </c>
      <c r="C95" s="9">
        <v>411</v>
      </c>
      <c r="D95" s="29">
        <v>26.25</v>
      </c>
      <c r="E95" s="25">
        <f>+Tabella2[[#This Row],[COSTO TOT.]]/12</f>
        <v>2.1875</v>
      </c>
    </row>
    <row r="96" spans="1:5">
      <c r="A96" s="8" t="s">
        <v>11</v>
      </c>
      <c r="B96" s="8" t="s">
        <v>347</v>
      </c>
      <c r="C96" s="9">
        <v>412</v>
      </c>
      <c r="D96" s="29"/>
      <c r="E96" s="25">
        <v>0.91</v>
      </c>
    </row>
    <row r="97" spans="1:5">
      <c r="A97" s="8" t="s">
        <v>11</v>
      </c>
      <c r="B97" s="8" t="s">
        <v>618</v>
      </c>
      <c r="C97" s="9">
        <v>414</v>
      </c>
      <c r="D97" s="29"/>
      <c r="E97" s="25">
        <v>1.02</v>
      </c>
    </row>
    <row r="98" spans="1:5" ht="15" customHeight="1">
      <c r="A98" s="10" t="s">
        <v>11</v>
      </c>
      <c r="B98" s="10" t="s">
        <v>194</v>
      </c>
      <c r="C98" s="11">
        <v>415</v>
      </c>
      <c r="D98" s="26">
        <v>34</v>
      </c>
      <c r="E98" s="23">
        <f>+Tabella2[[#This Row],[COSTO TOT.]]/24</f>
        <v>1.4166666666666667</v>
      </c>
    </row>
    <row r="99" spans="1:5">
      <c r="A99" s="10" t="s">
        <v>11</v>
      </c>
      <c r="B99" s="10" t="s">
        <v>195</v>
      </c>
      <c r="C99" s="11">
        <v>416</v>
      </c>
      <c r="D99" s="26">
        <v>23.25</v>
      </c>
      <c r="E99" s="23">
        <f>+Tabella2[[#This Row],[COSTO TOT.]]/24</f>
        <v>0.96875</v>
      </c>
    </row>
    <row r="100" spans="1:5">
      <c r="A100" s="8" t="s">
        <v>11</v>
      </c>
      <c r="B100" s="8" t="s">
        <v>74</v>
      </c>
      <c r="C100" s="9">
        <v>417</v>
      </c>
      <c r="D100" s="29">
        <v>27.04</v>
      </c>
      <c r="E100" s="22">
        <f>+Tabella2[[#This Row],[COSTO TOT.]]/12</f>
        <v>2.2533333333333334</v>
      </c>
    </row>
    <row r="101" spans="1:5">
      <c r="A101" s="10" t="s">
        <v>11</v>
      </c>
      <c r="B101" s="10" t="s">
        <v>72</v>
      </c>
      <c r="C101" s="11">
        <v>418</v>
      </c>
      <c r="D101" s="29">
        <v>27.04</v>
      </c>
      <c r="E101" s="22">
        <f>+Tabella2[[#This Row],[COSTO TOT.]]/12</f>
        <v>2.2533333333333334</v>
      </c>
    </row>
    <row r="102" spans="1:5">
      <c r="A102" s="8" t="s">
        <v>11</v>
      </c>
      <c r="B102" s="8" t="s">
        <v>75</v>
      </c>
      <c r="C102" s="9">
        <v>419</v>
      </c>
      <c r="D102" s="29">
        <v>26.25</v>
      </c>
      <c r="E102" s="22">
        <f>+Tabella2[[#This Row],[COSTO TOT.]]/12</f>
        <v>2.1875</v>
      </c>
    </row>
    <row r="103" spans="1:5">
      <c r="A103" s="10" t="s">
        <v>11</v>
      </c>
      <c r="B103" s="10" t="s">
        <v>216</v>
      </c>
      <c r="C103" s="11">
        <v>420</v>
      </c>
      <c r="D103" s="26">
        <v>35.4</v>
      </c>
      <c r="E103" s="24">
        <f>+Tabella2[[#This Row],[COSTO TOT.]]/24</f>
        <v>1.4749999999999999</v>
      </c>
    </row>
    <row r="104" spans="1:5">
      <c r="A104" s="8" t="s">
        <v>11</v>
      </c>
      <c r="B104" s="8" t="s">
        <v>215</v>
      </c>
      <c r="C104" s="9">
        <v>421</v>
      </c>
      <c r="D104" s="29"/>
      <c r="E104" s="22">
        <v>1</v>
      </c>
    </row>
    <row r="105" spans="1:5">
      <c r="A105" s="10" t="s">
        <v>11</v>
      </c>
      <c r="B105" s="10" t="s">
        <v>217</v>
      </c>
      <c r="C105" s="11">
        <v>422</v>
      </c>
      <c r="D105" s="26">
        <v>33.979999999999997</v>
      </c>
      <c r="E105" s="24">
        <f>+Tabella2[[#This Row],[COSTO TOT.]]/24</f>
        <v>1.4158333333333333</v>
      </c>
    </row>
    <row r="106" spans="1:5">
      <c r="A106" s="9" t="s">
        <v>11</v>
      </c>
      <c r="B106" s="8" t="s">
        <v>82</v>
      </c>
      <c r="C106" s="8">
        <v>423</v>
      </c>
      <c r="D106" s="29">
        <v>27.05</v>
      </c>
      <c r="E106" s="22">
        <f>+Tabella2[[#This Row],[COSTO TOT.]]/12</f>
        <v>2.2541666666666669</v>
      </c>
    </row>
    <row r="107" spans="1:5">
      <c r="A107" s="8" t="s">
        <v>11</v>
      </c>
      <c r="B107" s="8" t="s">
        <v>76</v>
      </c>
      <c r="C107" s="9">
        <v>424</v>
      </c>
      <c r="D107" s="29"/>
      <c r="E107" s="22">
        <v>1.2</v>
      </c>
    </row>
    <row r="108" spans="1:5">
      <c r="A108" s="8" t="s">
        <v>11</v>
      </c>
      <c r="B108" s="9" t="s">
        <v>129</v>
      </c>
      <c r="C108" s="9">
        <v>425</v>
      </c>
      <c r="D108" s="26">
        <v>105</v>
      </c>
      <c r="E108" s="24">
        <f>+(Tabella2[[#This Row],[COSTO TOT.]]/30)*1</f>
        <v>3.5</v>
      </c>
    </row>
    <row r="109" spans="1:5">
      <c r="A109" s="10" t="s">
        <v>11</v>
      </c>
      <c r="B109" s="10" t="s">
        <v>128</v>
      </c>
      <c r="C109" s="11">
        <v>426</v>
      </c>
      <c r="D109" s="26">
        <v>105</v>
      </c>
      <c r="E109" s="24">
        <f>+(Tabella2[[#This Row],[COSTO TOT.]]/30)*1.5</f>
        <v>5.25</v>
      </c>
    </row>
    <row r="110" spans="1:5">
      <c r="A110" s="10" t="s">
        <v>11</v>
      </c>
      <c r="B110" s="10" t="s">
        <v>130</v>
      </c>
      <c r="C110" s="11">
        <v>428</v>
      </c>
      <c r="D110" s="29">
        <v>94.9</v>
      </c>
      <c r="E110" s="24">
        <f>+(Tabella2[[#This Row],[COSTO TOT.]]/30)*1</f>
        <v>3.1633333333333336</v>
      </c>
    </row>
    <row r="111" spans="1:5">
      <c r="A111" s="10" t="s">
        <v>11</v>
      </c>
      <c r="B111" s="10" t="s">
        <v>511</v>
      </c>
      <c r="C111" s="11">
        <v>431</v>
      </c>
      <c r="D111" s="29">
        <v>94.9</v>
      </c>
      <c r="E111" s="24">
        <f>+(Tabella2[[#This Row],[COSTO TOT.]]/15)*1</f>
        <v>6.3266666666666671</v>
      </c>
    </row>
    <row r="112" spans="1:5">
      <c r="A112" s="8" t="s">
        <v>11</v>
      </c>
      <c r="B112" s="8" t="s">
        <v>194</v>
      </c>
      <c r="C112" s="9">
        <v>434</v>
      </c>
      <c r="D112" s="26">
        <v>34</v>
      </c>
      <c r="E112" s="23">
        <f>+Tabella2[[#This Row],[COSTO TOT.]]/24</f>
        <v>1.4166666666666667</v>
      </c>
    </row>
    <row r="113" spans="1:5">
      <c r="A113" s="10" t="s">
        <v>11</v>
      </c>
      <c r="B113" s="10" t="s">
        <v>246</v>
      </c>
      <c r="C113" s="11">
        <v>435</v>
      </c>
      <c r="D113" s="26">
        <v>33</v>
      </c>
      <c r="E113" s="23">
        <f>+Tabella2[[#This Row],[COSTO TOT.]]/24</f>
        <v>1.375</v>
      </c>
    </row>
    <row r="114" spans="1:5">
      <c r="A114" s="10" t="s">
        <v>64</v>
      </c>
      <c r="B114" s="10" t="s">
        <v>71</v>
      </c>
      <c r="C114" s="11">
        <v>501</v>
      </c>
      <c r="D114" s="26">
        <v>17.7</v>
      </c>
      <c r="E114" s="23">
        <f>+(Tabella2[[#This Row],[COSTO TOT.]]/100)*3.5</f>
        <v>0.61949999999999994</v>
      </c>
    </row>
    <row r="115" spans="1:5">
      <c r="A115" s="8" t="s">
        <v>64</v>
      </c>
      <c r="B115" s="8" t="s">
        <v>30</v>
      </c>
      <c r="C115" s="9">
        <v>502</v>
      </c>
      <c r="D115" s="29">
        <v>13</v>
      </c>
      <c r="E115" s="23">
        <f>+(Tabella2[[#This Row],[COSTO TOT.]]/100)*3.5</f>
        <v>0.45500000000000002</v>
      </c>
    </row>
    <row r="116" spans="1:5">
      <c r="A116" s="8" t="s">
        <v>64</v>
      </c>
      <c r="B116" s="8" t="s">
        <v>206</v>
      </c>
      <c r="C116" s="9">
        <v>503</v>
      </c>
      <c r="D116" s="29">
        <v>13.5</v>
      </c>
      <c r="E116" s="23">
        <f>+(Tabella2[[#This Row],[COSTO TOT.]]/100)*3.5</f>
        <v>0.47250000000000003</v>
      </c>
    </row>
    <row r="117" spans="1:5">
      <c r="A117" s="10" t="s">
        <v>64</v>
      </c>
      <c r="B117" s="10" t="s">
        <v>223</v>
      </c>
      <c r="C117" s="11">
        <v>504</v>
      </c>
      <c r="D117" s="26">
        <v>17.07</v>
      </c>
      <c r="E117" s="23">
        <f>+(Tabella2[[#This Row],[COSTO TOT.]]/100)*3.5</f>
        <v>0.59744999999999993</v>
      </c>
    </row>
    <row r="118" spans="1:5">
      <c r="A118" s="10" t="s">
        <v>64</v>
      </c>
      <c r="B118" s="10" t="s">
        <v>24</v>
      </c>
      <c r="C118" s="11">
        <v>505</v>
      </c>
      <c r="D118" s="26">
        <v>18.03</v>
      </c>
      <c r="E118" s="23">
        <f>+(Tabella2[[#This Row],[COSTO TOT.]]/70)*3.5</f>
        <v>0.90149999999999997</v>
      </c>
    </row>
    <row r="119" spans="1:5">
      <c r="A119" s="10" t="s">
        <v>64</v>
      </c>
      <c r="B119" s="10" t="s">
        <v>21</v>
      </c>
      <c r="C119" s="11">
        <v>506</v>
      </c>
      <c r="D119" s="26">
        <v>18.03</v>
      </c>
      <c r="E119" s="23">
        <f>+(Tabella2[[#This Row],[COSTO TOT.]]/70)*3.5</f>
        <v>0.90149999999999997</v>
      </c>
    </row>
    <row r="120" spans="1:5">
      <c r="A120" s="10" t="s">
        <v>64</v>
      </c>
      <c r="B120" s="10" t="s">
        <v>23</v>
      </c>
      <c r="C120" s="11">
        <v>507</v>
      </c>
      <c r="D120" s="26">
        <v>16.23</v>
      </c>
      <c r="E120" s="23">
        <f>+(Tabella2[[#This Row],[COSTO TOT.]]/100)*3.5</f>
        <v>0.56804999999999994</v>
      </c>
    </row>
    <row r="121" spans="1:5">
      <c r="A121" s="10" t="s">
        <v>64</v>
      </c>
      <c r="B121" s="10" t="s">
        <v>309</v>
      </c>
      <c r="C121" s="11">
        <v>508</v>
      </c>
      <c r="D121" s="26">
        <v>13.11</v>
      </c>
      <c r="E121" s="23">
        <f>+(Tabella2[[#This Row],[COSTO TOT.]]/70)*3.5</f>
        <v>0.65549999999999997</v>
      </c>
    </row>
    <row r="122" spans="1:5">
      <c r="A122" s="8" t="s">
        <v>64</v>
      </c>
      <c r="B122" s="8" t="s">
        <v>28</v>
      </c>
      <c r="C122" s="9">
        <v>511</v>
      </c>
      <c r="D122" s="29">
        <v>15.62</v>
      </c>
      <c r="E122" s="23">
        <f>+(Tabella2[[#This Row],[COSTO TOT.]]/100)*3.5</f>
        <v>0.54669999999999996</v>
      </c>
    </row>
    <row r="123" spans="1:5">
      <c r="A123" s="8" t="s">
        <v>64</v>
      </c>
      <c r="B123" s="8" t="s">
        <v>138</v>
      </c>
      <c r="C123" s="9">
        <v>512</v>
      </c>
      <c r="D123" s="29">
        <v>11</v>
      </c>
      <c r="E123" s="23">
        <f>+(Tabella2[[#This Row],[COSTO TOT.]]/100)*3.5</f>
        <v>0.38500000000000001</v>
      </c>
    </row>
    <row r="124" spans="1:5">
      <c r="A124" s="8" t="s">
        <v>64</v>
      </c>
      <c r="B124" s="8" t="s">
        <v>65</v>
      </c>
      <c r="C124" s="9">
        <v>514</v>
      </c>
      <c r="D124" s="29">
        <v>19.18</v>
      </c>
      <c r="E124" s="23">
        <f>+(Tabella2[[#This Row],[COSTO TOT.]]/100)*3.5</f>
        <v>0.67130000000000001</v>
      </c>
    </row>
    <row r="125" spans="1:5">
      <c r="A125" s="8" t="s">
        <v>64</v>
      </c>
      <c r="B125" s="8" t="s">
        <v>167</v>
      </c>
      <c r="C125" s="9">
        <v>515</v>
      </c>
      <c r="D125" s="29">
        <v>12.41</v>
      </c>
      <c r="E125" s="23">
        <f>(Tabella2[[#This Row],[COSTO TOT.]]/70)*3.5</f>
        <v>0.62050000000000005</v>
      </c>
    </row>
    <row r="126" spans="1:5">
      <c r="A126" s="8" t="s">
        <v>64</v>
      </c>
      <c r="B126" s="8" t="s">
        <v>94</v>
      </c>
      <c r="C126" s="9">
        <v>516</v>
      </c>
      <c r="D126" s="29">
        <v>18.5</v>
      </c>
      <c r="E126" s="23">
        <f>+(Tabella2[[#This Row],[COSTO TOT.]]/100)*3.5</f>
        <v>0.64749999999999996</v>
      </c>
    </row>
    <row r="127" spans="1:5">
      <c r="A127" s="10" t="s">
        <v>64</v>
      </c>
      <c r="B127" s="10" t="s">
        <v>158</v>
      </c>
      <c r="C127" s="13">
        <v>603</v>
      </c>
      <c r="D127" s="26">
        <v>11.56</v>
      </c>
      <c r="E127" s="23">
        <f>+(Tabella2[[#This Row],[COSTO TOT.]]/70)*3.5</f>
        <v>0.57800000000000007</v>
      </c>
    </row>
    <row r="128" spans="1:5">
      <c r="A128" s="10" t="s">
        <v>64</v>
      </c>
      <c r="B128" s="10" t="s">
        <v>18</v>
      </c>
      <c r="C128" s="11">
        <v>610</v>
      </c>
      <c r="D128" s="26">
        <v>18.5</v>
      </c>
      <c r="E128" s="23">
        <f>+(Tabella2[[#This Row],[COSTO TOT.]]/70)*3.5</f>
        <v>0.92500000000000004</v>
      </c>
    </row>
    <row r="129" spans="1:5">
      <c r="A129" s="8" t="s">
        <v>64</v>
      </c>
      <c r="B129" s="8" t="s">
        <v>267</v>
      </c>
      <c r="C129" s="9">
        <v>611</v>
      </c>
      <c r="D129" s="29">
        <v>21.31</v>
      </c>
      <c r="E129" s="23">
        <f>+(Tabella2[[#This Row],[COSTO TOT.]]/100)*3.5</f>
        <v>0.7458499999999999</v>
      </c>
    </row>
    <row r="130" spans="1:5">
      <c r="A130" s="8" t="s">
        <v>64</v>
      </c>
      <c r="B130" s="8" t="s">
        <v>332</v>
      </c>
      <c r="C130" s="9">
        <v>612</v>
      </c>
      <c r="D130" s="29">
        <v>14.75</v>
      </c>
      <c r="E130" s="23">
        <f>+(Tabella2[[#This Row],[COSTO TOT.]]/70)*3.5</f>
        <v>0.73750000000000004</v>
      </c>
    </row>
    <row r="131" spans="1:5">
      <c r="A131" s="8" t="s">
        <v>64</v>
      </c>
      <c r="B131" s="8" t="s">
        <v>157</v>
      </c>
      <c r="C131" s="12">
        <v>613</v>
      </c>
      <c r="D131" s="29">
        <v>9.84</v>
      </c>
      <c r="E131" s="23">
        <f>+(Tabella2[[#This Row],[COSTO TOT.]]/70)*3.5</f>
        <v>0.49199999999999999</v>
      </c>
    </row>
    <row r="132" spans="1:5">
      <c r="A132" s="10" t="s">
        <v>64</v>
      </c>
      <c r="B132" s="10" t="s">
        <v>205</v>
      </c>
      <c r="C132" s="11">
        <v>614</v>
      </c>
      <c r="D132" s="26">
        <v>9.84</v>
      </c>
      <c r="E132" s="23">
        <f>+(Tabella2[[#This Row],[COSTO TOT.]]/70)*3.5</f>
        <v>0.49199999999999999</v>
      </c>
    </row>
    <row r="133" spans="1:5">
      <c r="A133" s="10" t="s">
        <v>64</v>
      </c>
      <c r="B133" s="10" t="s">
        <v>221</v>
      </c>
      <c r="C133" s="11">
        <v>615</v>
      </c>
      <c r="D133" s="26">
        <v>9.84</v>
      </c>
      <c r="E133" s="23">
        <f>+(Tabella2[[#This Row],[COSTO TOT.]]/70)*3.5</f>
        <v>0.49199999999999999</v>
      </c>
    </row>
    <row r="134" spans="1:5">
      <c r="A134" s="10" t="s">
        <v>64</v>
      </c>
      <c r="B134" s="10" t="s">
        <v>220</v>
      </c>
      <c r="C134" s="11">
        <v>616</v>
      </c>
      <c r="D134" s="26">
        <v>9.84</v>
      </c>
      <c r="E134" s="23">
        <f>+(Tabella2[[#This Row],[COSTO TOT.]]/70)*3.5</f>
        <v>0.49199999999999999</v>
      </c>
    </row>
    <row r="135" spans="1:5">
      <c r="A135" s="10" t="s">
        <v>64</v>
      </c>
      <c r="B135" s="10" t="s">
        <v>79</v>
      </c>
      <c r="C135" s="11">
        <v>618</v>
      </c>
      <c r="D135" s="26">
        <v>19.309999999999999</v>
      </c>
      <c r="E135" s="23">
        <f>+(Tabella2[[#This Row],[COSTO TOT.]]/100)*3.5</f>
        <v>0.67584999999999995</v>
      </c>
    </row>
    <row r="136" spans="1:5">
      <c r="A136" s="10" t="s">
        <v>64</v>
      </c>
      <c r="B136" s="10" t="s">
        <v>16</v>
      </c>
      <c r="C136" s="11">
        <v>619</v>
      </c>
      <c r="D136" s="26"/>
      <c r="E136" s="23">
        <v>0.6</v>
      </c>
    </row>
    <row r="137" spans="1:5">
      <c r="A137" s="10" t="s">
        <v>64</v>
      </c>
      <c r="B137" s="10" t="s">
        <v>331</v>
      </c>
      <c r="C137" s="11">
        <v>621</v>
      </c>
      <c r="D137" s="26">
        <v>12.66</v>
      </c>
      <c r="E137" s="23">
        <f>(Tabella2[[#This Row],[COSTO TOT.]]/70)*3.5</f>
        <v>0.63300000000000001</v>
      </c>
    </row>
    <row r="138" spans="1:5">
      <c r="A138" s="10" t="s">
        <v>334</v>
      </c>
      <c r="B138" s="10" t="s">
        <v>333</v>
      </c>
      <c r="C138" s="11">
        <v>806</v>
      </c>
      <c r="D138" s="26">
        <v>14.8</v>
      </c>
      <c r="E138" s="23">
        <f>(Tabella2[[#This Row],[COSTO TOT.]]/70)*3.5</f>
        <v>0.74</v>
      </c>
    </row>
    <row r="139" spans="1:5">
      <c r="A139" s="10" t="s">
        <v>162</v>
      </c>
      <c r="B139" s="10" t="s">
        <v>193</v>
      </c>
      <c r="C139" s="11">
        <v>902</v>
      </c>
      <c r="D139" s="26">
        <v>21.77</v>
      </c>
      <c r="E139" s="23">
        <f>+(Tabella2[[#This Row],[COSTO TOT.]]/70)*4</f>
        <v>1.244</v>
      </c>
    </row>
    <row r="140" spans="1:5">
      <c r="A140" s="10" t="s">
        <v>162</v>
      </c>
      <c r="B140" s="10" t="s">
        <v>507</v>
      </c>
      <c r="C140" s="11">
        <v>904</v>
      </c>
      <c r="D140" s="26">
        <v>17</v>
      </c>
      <c r="E140" s="23">
        <f>+(Tabella2[[#This Row],[COSTO TOT.]]/100)*4</f>
        <v>0.68</v>
      </c>
    </row>
    <row r="141" spans="1:5">
      <c r="A141" s="10" t="s">
        <v>162</v>
      </c>
      <c r="B141" s="10" t="s">
        <v>164</v>
      </c>
      <c r="C141" s="11">
        <v>915</v>
      </c>
      <c r="D141" s="26">
        <v>31.9</v>
      </c>
      <c r="E141" s="23">
        <f>+(Tabella2[[#This Row],[COSTO TOT.]]/70)*4</f>
        <v>1.8228571428571427</v>
      </c>
    </row>
    <row r="142" spans="1:5">
      <c r="A142" s="8" t="s">
        <v>162</v>
      </c>
      <c r="B142" s="8" t="s">
        <v>200</v>
      </c>
      <c r="C142" s="9">
        <v>916</v>
      </c>
      <c r="D142" s="29">
        <v>21</v>
      </c>
      <c r="E142" s="23">
        <f>+(Tabella2[[#This Row],[COSTO TOT.]]/70)*4</f>
        <v>1.2</v>
      </c>
    </row>
    <row r="143" spans="1:5">
      <c r="A143" s="10" t="s">
        <v>162</v>
      </c>
      <c r="B143" s="10" t="s">
        <v>161</v>
      </c>
      <c r="C143" s="11">
        <v>917</v>
      </c>
      <c r="D143" s="26">
        <v>33</v>
      </c>
      <c r="E143" s="23">
        <f>+(Tabella2[[#This Row],[COSTO TOT.]]/70)*4</f>
        <v>1.8857142857142857</v>
      </c>
    </row>
    <row r="144" spans="1:5">
      <c r="A144" s="10" t="s">
        <v>162</v>
      </c>
      <c r="B144" s="10" t="s">
        <v>619</v>
      </c>
      <c r="C144" s="11">
        <v>923</v>
      </c>
      <c r="D144" s="26">
        <v>46</v>
      </c>
      <c r="E144" s="23">
        <f>+(Tabella2[[#This Row],[COSTO TOT.]]/70)*4</f>
        <v>2.6285714285714286</v>
      </c>
    </row>
    <row r="145" spans="1:5">
      <c r="A145" s="8" t="s">
        <v>175</v>
      </c>
      <c r="B145" s="8" t="s">
        <v>39</v>
      </c>
      <c r="C145" s="9">
        <v>1002</v>
      </c>
      <c r="D145" s="29"/>
      <c r="E145" s="25">
        <v>1.89</v>
      </c>
    </row>
    <row r="146" spans="1:5">
      <c r="A146" s="10" t="s">
        <v>175</v>
      </c>
      <c r="B146" s="10" t="s">
        <v>299</v>
      </c>
      <c r="C146" s="10">
        <v>1003</v>
      </c>
      <c r="D146" s="26"/>
      <c r="E146" s="23">
        <v>2.82</v>
      </c>
    </row>
    <row r="147" spans="1:5">
      <c r="A147" s="10" t="s">
        <v>175</v>
      </c>
      <c r="B147" s="10" t="s">
        <v>298</v>
      </c>
      <c r="C147" s="11">
        <v>1004</v>
      </c>
      <c r="D147" s="26"/>
      <c r="E147" s="24">
        <v>2.5</v>
      </c>
    </row>
    <row r="148" spans="1:5">
      <c r="A148" s="10" t="s">
        <v>175</v>
      </c>
      <c r="B148" s="10" t="s">
        <v>297</v>
      </c>
      <c r="C148" s="11">
        <v>1005</v>
      </c>
      <c r="D148" s="26"/>
      <c r="E148" s="23">
        <v>2.5</v>
      </c>
    </row>
    <row r="149" spans="1:5">
      <c r="A149" s="10" t="s">
        <v>175</v>
      </c>
      <c r="B149" s="10" t="s">
        <v>38</v>
      </c>
      <c r="C149" s="13">
        <v>1007</v>
      </c>
      <c r="D149" s="26"/>
      <c r="E149" s="24">
        <v>2.95</v>
      </c>
    </row>
    <row r="150" spans="1:5">
      <c r="A150" s="10" t="s">
        <v>175</v>
      </c>
      <c r="B150" s="10" t="s">
        <v>348</v>
      </c>
      <c r="C150" s="13">
        <v>1006</v>
      </c>
      <c r="D150" s="26"/>
      <c r="E150" s="24">
        <v>1.92</v>
      </c>
    </row>
    <row r="151" spans="1:5">
      <c r="A151" s="10" t="s">
        <v>175</v>
      </c>
      <c r="B151" s="10" t="s">
        <v>37</v>
      </c>
      <c r="C151" s="10">
        <v>1010</v>
      </c>
      <c r="D151" s="26"/>
      <c r="E151" s="23">
        <v>2.94</v>
      </c>
    </row>
    <row r="152" spans="1:5">
      <c r="A152" s="10" t="s">
        <v>175</v>
      </c>
      <c r="B152" s="10" t="s">
        <v>238</v>
      </c>
      <c r="C152" s="11">
        <v>1011</v>
      </c>
      <c r="D152" s="26"/>
      <c r="E152" s="23">
        <v>3.49</v>
      </c>
    </row>
    <row r="153" spans="1:5">
      <c r="A153" s="8" t="s">
        <v>175</v>
      </c>
      <c r="B153" s="8" t="s">
        <v>208</v>
      </c>
      <c r="C153" s="9">
        <v>1012</v>
      </c>
      <c r="D153" s="29"/>
      <c r="E153" s="22">
        <v>2.75</v>
      </c>
    </row>
    <row r="154" spans="1:5">
      <c r="A154" s="8" t="s">
        <v>175</v>
      </c>
      <c r="B154" s="8" t="s">
        <v>620</v>
      </c>
      <c r="C154" s="9">
        <v>1015</v>
      </c>
      <c r="D154" s="29"/>
      <c r="E154" s="22">
        <v>2.65</v>
      </c>
    </row>
    <row r="155" spans="1:5">
      <c r="A155" s="8" t="s">
        <v>336</v>
      </c>
      <c r="B155" s="8" t="s">
        <v>335</v>
      </c>
      <c r="C155" s="9">
        <v>1106</v>
      </c>
      <c r="D155" s="29">
        <v>6.95</v>
      </c>
      <c r="E155" s="23">
        <f>(Tabella2[[#This Row],[COSTO TOT.]]/70)*3.5</f>
        <v>0.34749999999999998</v>
      </c>
    </row>
    <row r="156" spans="1:5">
      <c r="A156" s="8" t="s">
        <v>271</v>
      </c>
      <c r="B156" s="8" t="s">
        <v>270</v>
      </c>
      <c r="C156" s="9">
        <v>1203</v>
      </c>
      <c r="D156" s="29">
        <v>16</v>
      </c>
      <c r="E156" s="23">
        <f>(Tabella2[[#This Row],[COSTO TOT.]]/70)*3.5</f>
        <v>0.79999999999999993</v>
      </c>
    </row>
    <row r="157" spans="1:5">
      <c r="A157" s="10" t="s">
        <v>199</v>
      </c>
      <c r="B157" s="10" t="s">
        <v>27</v>
      </c>
      <c r="C157" s="11">
        <v>1303</v>
      </c>
      <c r="D157" s="26">
        <v>23.76</v>
      </c>
      <c r="E157" s="23">
        <f>(Tabella2[[#This Row],[COSTO TOT.]]/100)*3.5</f>
        <v>0.83160000000000001</v>
      </c>
    </row>
    <row r="158" spans="1:5">
      <c r="A158" s="10" t="s">
        <v>199</v>
      </c>
      <c r="B158" s="8" t="s">
        <v>324</v>
      </c>
      <c r="C158" s="9">
        <v>1306</v>
      </c>
      <c r="D158" s="29">
        <v>30</v>
      </c>
      <c r="E158" s="23">
        <f>(Tabella2[[#This Row],[COSTO TOT.]]/70)*3.5</f>
        <v>1.5</v>
      </c>
    </row>
    <row r="159" spans="1:5">
      <c r="A159" s="10" t="s">
        <v>199</v>
      </c>
      <c r="B159" s="10" t="s">
        <v>29</v>
      </c>
      <c r="C159" s="11">
        <v>1308</v>
      </c>
      <c r="D159" s="26">
        <v>34</v>
      </c>
      <c r="E159" s="23">
        <f>(Tabella2[[#This Row],[COSTO TOT.]]/70)*3.5</f>
        <v>1.7</v>
      </c>
    </row>
    <row r="160" spans="1:5">
      <c r="A160" s="10" t="s">
        <v>199</v>
      </c>
      <c r="B160" s="10" t="s">
        <v>621</v>
      </c>
      <c r="C160" s="11">
        <v>1312</v>
      </c>
      <c r="D160" s="26">
        <v>12.5</v>
      </c>
      <c r="E160" s="23">
        <f>(Tabella2[[#This Row],[COSTO TOT.]]/70)*3.5</f>
        <v>0.625</v>
      </c>
    </row>
    <row r="161" spans="1:5">
      <c r="A161" s="8" t="s">
        <v>78</v>
      </c>
      <c r="B161" s="8" t="s">
        <v>184</v>
      </c>
      <c r="C161" s="9">
        <v>1401</v>
      </c>
      <c r="D161" s="26">
        <v>12.31</v>
      </c>
      <c r="E161" s="23">
        <f>+(Tabella2[[#This Row],[COSTO TOT.]]/70)*3</f>
        <v>0.52757142857142858</v>
      </c>
    </row>
    <row r="162" spans="1:5">
      <c r="A162" s="8" t="s">
        <v>78</v>
      </c>
      <c r="B162" s="8" t="s">
        <v>185</v>
      </c>
      <c r="C162" s="8">
        <v>1402</v>
      </c>
      <c r="D162" s="29">
        <v>17.61</v>
      </c>
      <c r="E162" s="23">
        <f>+(Tabella2[[#This Row],[COSTO TOT.]]/70)*3.5</f>
        <v>0.88049999999999995</v>
      </c>
    </row>
    <row r="163" spans="1:5">
      <c r="A163" s="8" t="s">
        <v>78</v>
      </c>
      <c r="B163" s="8" t="s">
        <v>77</v>
      </c>
      <c r="C163" s="9">
        <v>1416</v>
      </c>
      <c r="D163" s="29">
        <v>25.33</v>
      </c>
      <c r="E163" s="23">
        <f>+(Tabella2[[#This Row],[COSTO TOT.]]/70)*3.5</f>
        <v>1.2665</v>
      </c>
    </row>
    <row r="164" spans="1:5">
      <c r="A164" s="8" t="s">
        <v>145</v>
      </c>
      <c r="B164" s="8" t="s">
        <v>508</v>
      </c>
      <c r="C164" s="9">
        <v>1502</v>
      </c>
      <c r="D164" s="29"/>
      <c r="E164" s="23">
        <v>1.77</v>
      </c>
    </row>
    <row r="165" spans="1:5">
      <c r="A165" s="8" t="s">
        <v>145</v>
      </c>
      <c r="B165" s="8" t="s">
        <v>262</v>
      </c>
      <c r="C165" s="9">
        <v>1504</v>
      </c>
      <c r="D165" s="29"/>
      <c r="E165" s="22">
        <v>2.0499999999999998</v>
      </c>
    </row>
    <row r="166" spans="1:5">
      <c r="A166" s="8" t="s">
        <v>145</v>
      </c>
      <c r="B166" s="8" t="s">
        <v>276</v>
      </c>
      <c r="C166" s="9">
        <v>1510</v>
      </c>
      <c r="D166" s="29"/>
      <c r="E166" s="22">
        <v>1.8</v>
      </c>
    </row>
    <row r="167" spans="1:5">
      <c r="A167" s="10" t="s">
        <v>145</v>
      </c>
      <c r="B167" s="10" t="s">
        <v>315</v>
      </c>
      <c r="C167" s="11">
        <v>1513</v>
      </c>
      <c r="D167" s="26"/>
      <c r="E167" s="23">
        <v>1.48</v>
      </c>
    </row>
    <row r="168" spans="1:5">
      <c r="A168" s="8" t="s">
        <v>145</v>
      </c>
      <c r="B168" s="8" t="s">
        <v>173</v>
      </c>
      <c r="C168" s="9">
        <v>1518</v>
      </c>
      <c r="D168" s="29"/>
      <c r="E168" s="22">
        <v>1.65</v>
      </c>
    </row>
    <row r="169" spans="1:5">
      <c r="A169" s="10" t="s">
        <v>145</v>
      </c>
      <c r="B169" s="10" t="s">
        <v>210</v>
      </c>
      <c r="C169" s="11">
        <v>1523</v>
      </c>
      <c r="D169" s="26"/>
      <c r="E169" s="23">
        <v>2.1</v>
      </c>
    </row>
    <row r="170" spans="1:5">
      <c r="A170" s="10" t="s">
        <v>145</v>
      </c>
      <c r="B170" s="10" t="s">
        <v>230</v>
      </c>
      <c r="C170" s="11">
        <v>1528</v>
      </c>
      <c r="D170" s="26"/>
      <c r="E170" s="23">
        <v>1.36</v>
      </c>
    </row>
    <row r="171" spans="1:5">
      <c r="A171" s="10" t="s">
        <v>145</v>
      </c>
      <c r="B171" s="10" t="s">
        <v>314</v>
      </c>
      <c r="C171" s="11">
        <v>1530</v>
      </c>
      <c r="D171" s="26"/>
      <c r="E171" s="23">
        <v>1.67</v>
      </c>
    </row>
    <row r="172" spans="1:5">
      <c r="A172" s="10" t="s">
        <v>145</v>
      </c>
      <c r="B172" s="10" t="s">
        <v>313</v>
      </c>
      <c r="C172" s="11">
        <v>1531</v>
      </c>
      <c r="D172" s="26"/>
      <c r="E172" s="23">
        <v>1.44</v>
      </c>
    </row>
    <row r="173" spans="1:5">
      <c r="A173" s="10" t="s">
        <v>145</v>
      </c>
      <c r="B173" s="10" t="s">
        <v>312</v>
      </c>
      <c r="C173" s="11">
        <v>1532</v>
      </c>
      <c r="D173" s="26"/>
      <c r="E173" s="23">
        <v>1.44</v>
      </c>
    </row>
    <row r="174" spans="1:5">
      <c r="A174" s="10" t="s">
        <v>145</v>
      </c>
      <c r="B174" s="10" t="s">
        <v>146</v>
      </c>
      <c r="C174" s="11">
        <v>1538</v>
      </c>
      <c r="D174" s="26"/>
      <c r="E174" s="23">
        <v>1.6</v>
      </c>
    </row>
    <row r="175" spans="1:5">
      <c r="A175" s="10" t="s">
        <v>145</v>
      </c>
      <c r="B175" s="10" t="s">
        <v>316</v>
      </c>
      <c r="C175" s="11">
        <v>1539</v>
      </c>
      <c r="D175" s="26"/>
      <c r="E175" s="23">
        <v>1.48</v>
      </c>
    </row>
    <row r="176" spans="1:5">
      <c r="A176" s="10" t="s">
        <v>145</v>
      </c>
      <c r="B176" s="10" t="s">
        <v>44</v>
      </c>
      <c r="C176" s="11">
        <v>1540</v>
      </c>
      <c r="D176" s="26"/>
      <c r="E176" s="23">
        <v>1.64</v>
      </c>
    </row>
    <row r="177" spans="1:5">
      <c r="A177" s="10" t="s">
        <v>145</v>
      </c>
      <c r="B177" s="10" t="s">
        <v>263</v>
      </c>
      <c r="C177" s="11">
        <v>1541</v>
      </c>
      <c r="D177" s="26"/>
      <c r="E177" s="23">
        <v>1.25</v>
      </c>
    </row>
    <row r="178" spans="1:5">
      <c r="A178" s="10" t="s">
        <v>145</v>
      </c>
      <c r="B178" s="10" t="s">
        <v>144</v>
      </c>
      <c r="C178" s="11">
        <v>1542</v>
      </c>
      <c r="D178" s="26"/>
      <c r="E178" s="23">
        <v>1.6</v>
      </c>
    </row>
    <row r="179" spans="1:5">
      <c r="A179" s="8" t="s">
        <v>145</v>
      </c>
      <c r="B179" s="8" t="s">
        <v>176</v>
      </c>
      <c r="C179" s="12">
        <v>1543</v>
      </c>
      <c r="D179" s="29"/>
      <c r="E179" s="25">
        <v>1.67</v>
      </c>
    </row>
    <row r="180" spans="1:5">
      <c r="A180" s="8" t="s">
        <v>145</v>
      </c>
      <c r="B180" s="8" t="s">
        <v>174</v>
      </c>
      <c r="C180" s="9">
        <v>1544</v>
      </c>
      <c r="D180" s="29"/>
      <c r="E180" s="25">
        <v>1.67</v>
      </c>
    </row>
    <row r="181" spans="1:5">
      <c r="A181" s="8" t="s">
        <v>145</v>
      </c>
      <c r="B181" s="8" t="s">
        <v>509</v>
      </c>
      <c r="C181" s="9">
        <v>1545</v>
      </c>
      <c r="D181" s="29"/>
      <c r="E181" s="25">
        <v>5.31</v>
      </c>
    </row>
    <row r="182" spans="1:5">
      <c r="A182" s="8" t="s">
        <v>145</v>
      </c>
      <c r="B182" s="8" t="s">
        <v>178</v>
      </c>
      <c r="C182" s="9">
        <v>1552</v>
      </c>
      <c r="D182" s="29"/>
      <c r="E182" s="22">
        <v>2.48</v>
      </c>
    </row>
    <row r="183" spans="1:5">
      <c r="A183" s="8" t="s">
        <v>145</v>
      </c>
      <c r="B183" s="8" t="s">
        <v>177</v>
      </c>
      <c r="C183" s="9">
        <v>1553</v>
      </c>
      <c r="D183" s="29"/>
      <c r="E183" s="22">
        <v>2.4700000000000002</v>
      </c>
    </row>
    <row r="184" spans="1:5">
      <c r="A184" s="8" t="s">
        <v>145</v>
      </c>
      <c r="B184" s="8" t="s">
        <v>622</v>
      </c>
      <c r="C184" s="9">
        <v>12660</v>
      </c>
      <c r="D184" s="29"/>
      <c r="E184" s="22">
        <v>0.4</v>
      </c>
    </row>
    <row r="185" spans="1:5">
      <c r="A185" s="10" t="s">
        <v>90</v>
      </c>
      <c r="B185" s="10" t="s">
        <v>93</v>
      </c>
      <c r="C185" s="11">
        <v>1601</v>
      </c>
      <c r="D185" s="26"/>
      <c r="E185" s="23">
        <v>8.36</v>
      </c>
    </row>
    <row r="186" spans="1:5">
      <c r="A186" s="10" t="s">
        <v>90</v>
      </c>
      <c r="B186" s="10" t="s">
        <v>121</v>
      </c>
      <c r="C186" s="11">
        <v>1602</v>
      </c>
      <c r="D186" s="26"/>
      <c r="E186" s="23">
        <v>1.1100000000000001</v>
      </c>
    </row>
    <row r="187" spans="1:5">
      <c r="A187" s="10" t="s">
        <v>90</v>
      </c>
      <c r="B187" s="10" t="s">
        <v>106</v>
      </c>
      <c r="C187" s="11">
        <v>1603</v>
      </c>
      <c r="D187" s="26"/>
      <c r="E187" s="23">
        <v>8.36</v>
      </c>
    </row>
    <row r="188" spans="1:5">
      <c r="A188" s="8" t="s">
        <v>90</v>
      </c>
      <c r="B188" s="8" t="s">
        <v>112</v>
      </c>
      <c r="C188" s="9">
        <v>1604</v>
      </c>
      <c r="D188" s="29">
        <v>8.36</v>
      </c>
      <c r="E188" s="22">
        <f>+(Tabella2[[#This Row],[COSTO TOT.]]/0.75)*0.1</f>
        <v>1.1146666666666667</v>
      </c>
    </row>
    <row r="189" spans="1:5">
      <c r="A189" s="8" t="s">
        <v>90</v>
      </c>
      <c r="B189" s="8" t="s">
        <v>116</v>
      </c>
      <c r="C189" s="9">
        <v>1605</v>
      </c>
      <c r="D189" s="29">
        <v>6.49</v>
      </c>
      <c r="E189" s="22">
        <f>+(Tabella2[[#This Row],[COSTO TOT.]]/0.75)*0.1</f>
        <v>0.86533333333333351</v>
      </c>
    </row>
    <row r="190" spans="1:5">
      <c r="A190" s="8" t="s">
        <v>90</v>
      </c>
      <c r="B190" s="8" t="s">
        <v>337</v>
      </c>
      <c r="C190" s="9">
        <v>1606</v>
      </c>
      <c r="D190" s="29"/>
      <c r="E190" s="22">
        <v>6.49</v>
      </c>
    </row>
    <row r="191" spans="1:5">
      <c r="A191" s="8" t="s">
        <v>90</v>
      </c>
      <c r="B191" s="8" t="s">
        <v>113</v>
      </c>
      <c r="C191" s="9">
        <v>1607</v>
      </c>
      <c r="D191" s="29">
        <v>8.8000000000000007</v>
      </c>
      <c r="E191" s="22">
        <f>+(Tabella2[[#This Row],[COSTO TOT.]]/0.75)*0.1</f>
        <v>1.1733333333333336</v>
      </c>
    </row>
    <row r="192" spans="1:5">
      <c r="A192" s="10" t="s">
        <v>90</v>
      </c>
      <c r="B192" s="10" t="s">
        <v>91</v>
      </c>
      <c r="C192" s="11">
        <v>1608</v>
      </c>
      <c r="D192" s="26">
        <v>52.82</v>
      </c>
      <c r="E192" s="24">
        <f>+Tabella2[[#This Row],[COSTO TOT.]]/6</f>
        <v>8.8033333333333328</v>
      </c>
    </row>
    <row r="193" spans="1:5">
      <c r="A193" s="10" t="s">
        <v>90</v>
      </c>
      <c r="B193" s="10" t="s">
        <v>110</v>
      </c>
      <c r="C193" s="11">
        <v>1609</v>
      </c>
      <c r="D193" s="26">
        <v>9.02</v>
      </c>
      <c r="E193" s="22">
        <f>+(Tabella2[[#This Row],[COSTO TOT.]]/0.75)*0.1</f>
        <v>1.2026666666666666</v>
      </c>
    </row>
    <row r="194" spans="1:5">
      <c r="A194" s="8" t="s">
        <v>90</v>
      </c>
      <c r="B194" s="8" t="s">
        <v>89</v>
      </c>
      <c r="C194" s="9">
        <v>1610</v>
      </c>
      <c r="D194" s="29">
        <v>54.1</v>
      </c>
      <c r="E194" s="24">
        <f>+Tabella2[[#This Row],[COSTO TOT.]]/6</f>
        <v>9.0166666666666675</v>
      </c>
    </row>
    <row r="195" spans="1:5">
      <c r="A195" s="8" t="s">
        <v>88</v>
      </c>
      <c r="B195" s="8" t="s">
        <v>122</v>
      </c>
      <c r="C195" s="9">
        <v>1702</v>
      </c>
      <c r="D195" s="29"/>
      <c r="E195" s="22">
        <v>1.2</v>
      </c>
    </row>
    <row r="196" spans="1:5">
      <c r="A196" s="10" t="s">
        <v>88</v>
      </c>
      <c r="B196" s="10" t="s">
        <v>214</v>
      </c>
      <c r="C196" s="11">
        <v>1703</v>
      </c>
      <c r="D196" s="26"/>
      <c r="E196" s="23">
        <v>8.36</v>
      </c>
    </row>
    <row r="197" spans="1:5">
      <c r="A197" s="8" t="s">
        <v>88</v>
      </c>
      <c r="B197" s="8" t="s">
        <v>115</v>
      </c>
      <c r="C197" s="9">
        <v>1704</v>
      </c>
      <c r="D197" s="29">
        <v>8.36</v>
      </c>
      <c r="E197" s="22">
        <f>+(Tabella2[[#This Row],[COSTO TOT.]]/0.75)*0.1</f>
        <v>1.1146666666666667</v>
      </c>
    </row>
    <row r="198" spans="1:5">
      <c r="A198" s="8" t="s">
        <v>88</v>
      </c>
      <c r="B198" s="8" t="s">
        <v>201</v>
      </c>
      <c r="C198" s="9">
        <v>1705</v>
      </c>
      <c r="D198" s="29">
        <v>57.42</v>
      </c>
      <c r="E198" s="24">
        <f>+Tabella2[[#This Row],[COSTO TOT.]]/6</f>
        <v>9.57</v>
      </c>
    </row>
    <row r="199" spans="1:5">
      <c r="A199" s="9" t="s">
        <v>88</v>
      </c>
      <c r="B199" s="8" t="s">
        <v>114</v>
      </c>
      <c r="C199" s="9">
        <v>1706</v>
      </c>
      <c r="D199" s="29">
        <v>9.57</v>
      </c>
      <c r="E199" s="22">
        <f>+(Tabella2[[#This Row],[COSTO TOT.]]/0.75)*0.1</f>
        <v>1.276</v>
      </c>
    </row>
    <row r="200" spans="1:5">
      <c r="A200" s="10" t="s">
        <v>88</v>
      </c>
      <c r="B200" s="10" t="s">
        <v>296</v>
      </c>
      <c r="C200" s="11">
        <v>1707</v>
      </c>
      <c r="D200" s="26"/>
      <c r="E200" s="69"/>
    </row>
    <row r="201" spans="1:5">
      <c r="A201" s="8" t="s">
        <v>88</v>
      </c>
      <c r="B201" s="8" t="s">
        <v>120</v>
      </c>
      <c r="C201" s="9">
        <v>1708</v>
      </c>
      <c r="D201" s="29"/>
      <c r="E201" s="68">
        <f>+(Tabella2[[#This Row],[COSTO TOT.]]/0.75)*0.1</f>
        <v>0</v>
      </c>
    </row>
    <row r="202" spans="1:5">
      <c r="A202" s="10" t="s">
        <v>88</v>
      </c>
      <c r="B202" s="10" t="s">
        <v>109</v>
      </c>
      <c r="C202" s="11">
        <v>1709</v>
      </c>
      <c r="D202" s="26">
        <v>7.54</v>
      </c>
      <c r="E202" s="22">
        <f>+(Tabella2[[#This Row],[COSTO TOT.]]/0.75)*0.1</f>
        <v>1.0053333333333334</v>
      </c>
    </row>
    <row r="203" spans="1:5">
      <c r="A203" s="10" t="s">
        <v>88</v>
      </c>
      <c r="B203" s="10" t="s">
        <v>87</v>
      </c>
      <c r="C203" s="11">
        <v>1710</v>
      </c>
      <c r="D203" s="26">
        <v>45.25</v>
      </c>
      <c r="E203" s="24">
        <f>+Tabella2[[#This Row],[COSTO TOT.]]/6</f>
        <v>7.541666666666667</v>
      </c>
    </row>
    <row r="204" spans="1:5">
      <c r="A204" s="8" t="s">
        <v>88</v>
      </c>
      <c r="B204" s="8" t="s">
        <v>111</v>
      </c>
      <c r="C204" s="9">
        <v>1711</v>
      </c>
      <c r="D204" s="29"/>
      <c r="E204" s="68">
        <f>+(Tabella2[[#This Row],[COSTO TOT.]]/0.75)*0.1</f>
        <v>0</v>
      </c>
    </row>
    <row r="205" spans="1:5">
      <c r="A205" s="10" t="s">
        <v>88</v>
      </c>
      <c r="B205" s="10" t="s">
        <v>269</v>
      </c>
      <c r="C205" s="11">
        <v>1713</v>
      </c>
      <c r="D205" s="26"/>
      <c r="E205" s="24">
        <v>5.6</v>
      </c>
    </row>
    <row r="206" spans="1:5">
      <c r="A206" s="8" t="s">
        <v>88</v>
      </c>
      <c r="B206" s="8" t="s">
        <v>119</v>
      </c>
      <c r="C206" s="9">
        <v>1714</v>
      </c>
      <c r="D206" s="29">
        <v>5.6</v>
      </c>
      <c r="E206" s="22">
        <f>+(Tabella2[[#This Row],[COSTO TOT.]]/0.75)*0.1</f>
        <v>0.74666666666666659</v>
      </c>
    </row>
    <row r="207" spans="1:5">
      <c r="A207" s="8" t="s">
        <v>88</v>
      </c>
      <c r="B207" s="8" t="s">
        <v>349</v>
      </c>
      <c r="C207" s="9">
        <v>1717</v>
      </c>
      <c r="D207" s="29">
        <v>45.491799999999998</v>
      </c>
      <c r="E207" s="22">
        <f>+Tabella2[[#This Row],[COSTO TOT.]]/6</f>
        <v>7.5819666666666663</v>
      </c>
    </row>
    <row r="208" spans="1:5">
      <c r="A208" s="8" t="s">
        <v>88</v>
      </c>
      <c r="B208" s="8" t="s">
        <v>325</v>
      </c>
      <c r="C208" s="9">
        <v>1901</v>
      </c>
      <c r="D208" s="29"/>
      <c r="E208" s="22">
        <v>6.49</v>
      </c>
    </row>
    <row r="209" spans="1:6">
      <c r="A209" s="10" t="s">
        <v>108</v>
      </c>
      <c r="B209" s="10" t="s">
        <v>118</v>
      </c>
      <c r="C209" s="11">
        <v>1902</v>
      </c>
      <c r="D209" s="26">
        <v>6.49</v>
      </c>
      <c r="E209" s="22">
        <f>+(Tabella2[[#This Row],[COSTO TOT.]]/0.75)*0.1</f>
        <v>0.86533333333333351</v>
      </c>
    </row>
    <row r="210" spans="1:6">
      <c r="A210" s="10" t="s">
        <v>108</v>
      </c>
      <c r="B210" s="10" t="s">
        <v>234</v>
      </c>
      <c r="C210" s="11">
        <v>1903</v>
      </c>
      <c r="D210" s="26"/>
      <c r="E210" s="23">
        <v>16.899999999999999</v>
      </c>
    </row>
    <row r="211" spans="1:6">
      <c r="A211" s="8" t="s">
        <v>108</v>
      </c>
      <c r="B211" s="8" t="s">
        <v>117</v>
      </c>
      <c r="C211" s="9">
        <v>1904</v>
      </c>
      <c r="D211" s="29">
        <v>16.899999999999999</v>
      </c>
      <c r="E211" s="22">
        <f>+(Tabella2[[#This Row],[COSTO TOT.]]/0.75)*0.1</f>
        <v>2.2533333333333334</v>
      </c>
    </row>
    <row r="212" spans="1:6">
      <c r="A212" s="8" t="s">
        <v>108</v>
      </c>
      <c r="B212" s="8" t="s">
        <v>107</v>
      </c>
      <c r="C212" s="9">
        <v>1906</v>
      </c>
      <c r="D212" s="30">
        <v>6.45</v>
      </c>
      <c r="E212" s="22">
        <f>+(Tabella2[[#This Row],[COSTO TOT.]]/0.75)*0.1</f>
        <v>0.86</v>
      </c>
    </row>
    <row r="213" spans="1:6">
      <c r="A213" s="10" t="s">
        <v>171</v>
      </c>
      <c r="B213" s="10" t="s">
        <v>236</v>
      </c>
      <c r="C213" s="11">
        <v>2002</v>
      </c>
      <c r="D213" s="26">
        <v>15.5</v>
      </c>
      <c r="E213" s="24">
        <f>(Tabella2[[#This Row],[COSTO TOT.]]/40)*4</f>
        <v>1.55</v>
      </c>
    </row>
    <row r="214" spans="1:6">
      <c r="A214" s="10" t="s">
        <v>171</v>
      </c>
      <c r="B214" s="10" t="s">
        <v>305</v>
      </c>
      <c r="C214" s="11">
        <v>2004</v>
      </c>
      <c r="D214" s="26"/>
      <c r="E214" s="70">
        <f>+Tabella2[[#This Row],[Colonna2]]/1.1</f>
        <v>1.3636363636363635</v>
      </c>
      <c r="F214" s="70">
        <v>1.5</v>
      </c>
    </row>
    <row r="215" spans="1:6">
      <c r="A215" s="10" t="s">
        <v>171</v>
      </c>
      <c r="B215" s="10" t="s">
        <v>308</v>
      </c>
      <c r="C215" s="11">
        <v>2005</v>
      </c>
      <c r="D215" s="26"/>
      <c r="E215" s="70">
        <f>+Tabella2[[#This Row],[Colonna2]]/1.1</f>
        <v>0.90909090909090906</v>
      </c>
      <c r="F215" s="70">
        <v>1</v>
      </c>
    </row>
    <row r="216" spans="1:6">
      <c r="A216" s="8" t="s">
        <v>171</v>
      </c>
      <c r="B216" s="8" t="s">
        <v>170</v>
      </c>
      <c r="C216" s="9">
        <v>2006</v>
      </c>
      <c r="D216" s="29"/>
      <c r="E216" s="25">
        <v>1.5</v>
      </c>
    </row>
    <row r="217" spans="1:6">
      <c r="A217" s="10" t="s">
        <v>187</v>
      </c>
      <c r="B217" s="8" t="s">
        <v>341</v>
      </c>
      <c r="C217" s="9">
        <v>2101</v>
      </c>
      <c r="D217" s="29"/>
      <c r="E217" s="25">
        <v>1.82</v>
      </c>
    </row>
    <row r="218" spans="1:6">
      <c r="A218" s="10" t="s">
        <v>187</v>
      </c>
      <c r="B218" s="8" t="s">
        <v>338</v>
      </c>
      <c r="C218" s="9">
        <v>2102</v>
      </c>
      <c r="D218" s="29"/>
      <c r="E218" s="25">
        <v>2.54</v>
      </c>
    </row>
    <row r="219" spans="1:6">
      <c r="A219" s="10" t="s">
        <v>187</v>
      </c>
      <c r="B219" s="8" t="s">
        <v>623</v>
      </c>
      <c r="C219" s="9">
        <v>2103</v>
      </c>
      <c r="D219" s="29"/>
      <c r="E219" s="25">
        <v>2.27</v>
      </c>
    </row>
    <row r="220" spans="1:6">
      <c r="A220" s="10" t="s">
        <v>187</v>
      </c>
      <c r="B220" s="10" t="s">
        <v>275</v>
      </c>
      <c r="C220" s="11">
        <v>2104</v>
      </c>
      <c r="D220" s="26"/>
      <c r="E220" s="23">
        <v>2.52</v>
      </c>
    </row>
    <row r="221" spans="1:6">
      <c r="A221" s="10" t="s">
        <v>187</v>
      </c>
      <c r="B221" s="10" t="s">
        <v>342</v>
      </c>
      <c r="C221" s="11">
        <v>2105</v>
      </c>
      <c r="D221" s="26"/>
      <c r="E221" s="23">
        <v>2.7</v>
      </c>
    </row>
    <row r="222" spans="1:6">
      <c r="A222" s="8" t="s">
        <v>187</v>
      </c>
      <c r="B222" s="8" t="s">
        <v>229</v>
      </c>
      <c r="C222" s="9">
        <v>2106</v>
      </c>
      <c r="D222" s="29"/>
      <c r="E222" s="22">
        <v>2.31</v>
      </c>
    </row>
    <row r="223" spans="1:6">
      <c r="A223" s="8" t="s">
        <v>187</v>
      </c>
      <c r="B223" s="8" t="s">
        <v>339</v>
      </c>
      <c r="C223" s="9">
        <v>2107</v>
      </c>
      <c r="D223" s="29"/>
      <c r="E223" s="22">
        <v>2.6</v>
      </c>
    </row>
    <row r="224" spans="1:6">
      <c r="A224" s="8" t="s">
        <v>187</v>
      </c>
      <c r="B224" s="8" t="s">
        <v>340</v>
      </c>
      <c r="C224" s="9">
        <v>2108</v>
      </c>
      <c r="D224" s="29"/>
      <c r="E224" s="22">
        <v>1.81</v>
      </c>
    </row>
    <row r="225" spans="1:6">
      <c r="A225" s="8" t="s">
        <v>187</v>
      </c>
      <c r="B225" s="8" t="s">
        <v>239</v>
      </c>
      <c r="C225" s="9">
        <v>2109</v>
      </c>
      <c r="D225" s="29"/>
      <c r="E225" s="22">
        <v>3.28</v>
      </c>
    </row>
    <row r="226" spans="1:6">
      <c r="A226" s="8" t="s">
        <v>187</v>
      </c>
      <c r="B226" s="8" t="s">
        <v>203</v>
      </c>
      <c r="C226" s="8">
        <v>2111</v>
      </c>
      <c r="D226" s="27"/>
      <c r="E226" s="27">
        <v>1.7</v>
      </c>
    </row>
    <row r="227" spans="1:6">
      <c r="A227" s="10" t="s">
        <v>187</v>
      </c>
      <c r="B227" s="10" t="s">
        <v>186</v>
      </c>
      <c r="C227" s="10">
        <v>2112</v>
      </c>
      <c r="D227" s="28"/>
      <c r="E227" s="28">
        <v>2.1800000000000002</v>
      </c>
    </row>
    <row r="228" spans="1:6">
      <c r="A228" s="10" t="s">
        <v>187</v>
      </c>
      <c r="B228" s="10" t="s">
        <v>532</v>
      </c>
      <c r="C228" s="10">
        <v>2113</v>
      </c>
      <c r="D228" s="28"/>
      <c r="E228" s="28">
        <v>1.96</v>
      </c>
    </row>
    <row r="229" spans="1:6">
      <c r="A229" s="10" t="s">
        <v>58</v>
      </c>
      <c r="B229" s="10" t="s">
        <v>80</v>
      </c>
      <c r="C229" s="11">
        <v>2501</v>
      </c>
      <c r="D229" s="26"/>
      <c r="E229" s="23">
        <v>0.65</v>
      </c>
    </row>
    <row r="230" spans="1:6">
      <c r="A230" s="8" t="s">
        <v>58</v>
      </c>
      <c r="B230" s="8" t="s">
        <v>68</v>
      </c>
      <c r="C230" s="9">
        <v>2502</v>
      </c>
      <c r="D230" s="29"/>
      <c r="E230" s="22">
        <v>0.8</v>
      </c>
    </row>
    <row r="231" spans="1:6">
      <c r="A231" s="10" t="s">
        <v>58</v>
      </c>
      <c r="B231" s="10" t="s">
        <v>81</v>
      </c>
      <c r="C231" s="11">
        <v>2503</v>
      </c>
      <c r="D231" s="26"/>
      <c r="E231" s="23">
        <v>0.9</v>
      </c>
    </row>
    <row r="232" spans="1:6">
      <c r="A232" s="8" t="s">
        <v>58</v>
      </c>
      <c r="B232" s="8" t="s">
        <v>166</v>
      </c>
      <c r="C232" s="9">
        <v>2504</v>
      </c>
      <c r="D232" s="29"/>
      <c r="E232" s="22">
        <v>1.7</v>
      </c>
    </row>
    <row r="233" spans="1:6">
      <c r="A233" s="8" t="s">
        <v>58</v>
      </c>
      <c r="B233" s="8" t="s">
        <v>253</v>
      </c>
      <c r="C233" s="9">
        <v>2505</v>
      </c>
      <c r="D233" s="29"/>
      <c r="E233" s="25">
        <v>2.2000000000000002</v>
      </c>
    </row>
    <row r="234" spans="1:6">
      <c r="A234" s="10" t="s">
        <v>58</v>
      </c>
      <c r="B234" s="10" t="s">
        <v>86</v>
      </c>
      <c r="C234" s="11">
        <v>2506</v>
      </c>
      <c r="D234" s="26"/>
      <c r="E234" s="23">
        <v>12.38</v>
      </c>
    </row>
    <row r="235" spans="1:6">
      <c r="A235" s="8" t="s">
        <v>58</v>
      </c>
      <c r="B235" s="8" t="s">
        <v>92</v>
      </c>
      <c r="C235" s="9">
        <v>2507</v>
      </c>
      <c r="D235" s="29"/>
      <c r="E235" s="22">
        <v>30</v>
      </c>
    </row>
    <row r="236" spans="1:6">
      <c r="A236" s="10" t="s">
        <v>58</v>
      </c>
      <c r="B236" s="10" t="s">
        <v>311</v>
      </c>
      <c r="C236" s="11">
        <v>2513</v>
      </c>
      <c r="D236" s="26"/>
      <c r="E236" s="23">
        <v>1.2</v>
      </c>
    </row>
    <row r="237" spans="1:6">
      <c r="A237" s="11" t="s">
        <v>58</v>
      </c>
      <c r="B237" s="10" t="s">
        <v>61</v>
      </c>
      <c r="C237" s="11">
        <v>2514</v>
      </c>
      <c r="D237" s="26"/>
      <c r="E237" s="24">
        <v>0.14000000000000001</v>
      </c>
    </row>
    <row r="238" spans="1:6">
      <c r="A238" s="8" t="s">
        <v>58</v>
      </c>
      <c r="B238" s="8" t="s">
        <v>57</v>
      </c>
      <c r="C238" s="12">
        <v>2515</v>
      </c>
      <c r="D238" s="29"/>
      <c r="E238" s="25">
        <v>0.15</v>
      </c>
    </row>
    <row r="239" spans="1:6">
      <c r="A239" s="10" t="s">
        <v>58</v>
      </c>
      <c r="B239" s="10" t="s">
        <v>16</v>
      </c>
      <c r="C239" s="11">
        <v>2516</v>
      </c>
      <c r="D239" s="26"/>
      <c r="E239" s="23">
        <v>0.6</v>
      </c>
    </row>
    <row r="240" spans="1:6">
      <c r="A240" s="10" t="s">
        <v>9</v>
      </c>
      <c r="B240" s="10" t="s">
        <v>250</v>
      </c>
      <c r="C240" s="11">
        <v>3001</v>
      </c>
      <c r="D240" s="26"/>
      <c r="E240" s="70">
        <f>+Tabella2[[#This Row],[Colonna2]]/1.1</f>
        <v>2.7272727272727271</v>
      </c>
      <c r="F240" s="70">
        <v>3</v>
      </c>
    </row>
    <row r="241" spans="1:6">
      <c r="A241" s="10" t="s">
        <v>9</v>
      </c>
      <c r="B241" s="10" t="s">
        <v>251</v>
      </c>
      <c r="C241" s="11">
        <v>3002</v>
      </c>
      <c r="D241" s="26"/>
      <c r="E241" s="70">
        <f>+Tabella2[[#This Row],[Colonna2]]/1.1</f>
        <v>4.2363636363636363</v>
      </c>
      <c r="F241" s="70">
        <v>4.66</v>
      </c>
    </row>
    <row r="242" spans="1:6">
      <c r="A242" s="10" t="s">
        <v>9</v>
      </c>
      <c r="B242" s="10" t="s">
        <v>248</v>
      </c>
      <c r="C242" s="10">
        <v>3003</v>
      </c>
      <c r="D242" s="28"/>
      <c r="E242" s="70">
        <f>+Tabella2[[#This Row],[Colonna2]]/1.1</f>
        <v>4.2363636363636363</v>
      </c>
      <c r="F242" s="71">
        <v>4.66</v>
      </c>
    </row>
    <row r="243" spans="1:6">
      <c r="A243" s="10" t="s">
        <v>9</v>
      </c>
      <c r="B243" s="10" t="s">
        <v>67</v>
      </c>
      <c r="C243" s="10">
        <v>3004</v>
      </c>
      <c r="D243" s="28"/>
      <c r="E243" s="70">
        <f>+Tabella2[[#This Row],[Colonna2]]/1.1</f>
        <v>4.2363636363636363</v>
      </c>
      <c r="F243" s="71">
        <v>4.66</v>
      </c>
    </row>
    <row r="244" spans="1:6">
      <c r="A244" s="8" t="s">
        <v>9</v>
      </c>
      <c r="B244" s="8" t="s">
        <v>249</v>
      </c>
      <c r="C244" s="9">
        <v>3005</v>
      </c>
      <c r="D244" s="29"/>
      <c r="E244" s="70">
        <f>+Tabella2[[#This Row],[Colonna2]]/1.1</f>
        <v>4.2363636363636363</v>
      </c>
      <c r="F244" s="72">
        <v>4.66</v>
      </c>
    </row>
    <row r="245" spans="1:6">
      <c r="A245" s="8" t="s">
        <v>9</v>
      </c>
      <c r="B245" s="8" t="s">
        <v>510</v>
      </c>
      <c r="C245" s="9">
        <v>3006</v>
      </c>
      <c r="D245" s="29"/>
      <c r="E245" s="25">
        <v>9</v>
      </c>
    </row>
    <row r="246" spans="1:6">
      <c r="A246" s="10" t="s">
        <v>183</v>
      </c>
      <c r="B246" s="10" t="s">
        <v>258</v>
      </c>
      <c r="C246" s="11">
        <v>3101</v>
      </c>
      <c r="D246" s="26"/>
      <c r="E246" s="70">
        <f>+Tabella2[[#This Row],[Colonna2]]/1.1</f>
        <v>5.4545454545454541</v>
      </c>
      <c r="F246" s="70">
        <v>6</v>
      </c>
    </row>
    <row r="247" spans="1:6">
      <c r="A247" s="10" t="s">
        <v>183</v>
      </c>
      <c r="B247" s="10" t="s">
        <v>257</v>
      </c>
      <c r="C247" s="13">
        <v>3102</v>
      </c>
      <c r="D247" s="26"/>
      <c r="E247" s="70">
        <f>+Tabella2[[#This Row],[Colonna2]]/1.1</f>
        <v>5.4545454545454541</v>
      </c>
      <c r="F247" s="69">
        <v>6</v>
      </c>
    </row>
    <row r="248" spans="1:6">
      <c r="A248" s="10" t="s">
        <v>183</v>
      </c>
      <c r="B248" s="10" t="s">
        <v>260</v>
      </c>
      <c r="C248" s="11">
        <v>3103</v>
      </c>
      <c r="D248" s="26"/>
      <c r="E248" s="70">
        <f>+Tabella2[[#This Row],[Colonna2]]/1.1</f>
        <v>4.8484848484848477</v>
      </c>
      <c r="F248" s="69">
        <v>5.333333333333333</v>
      </c>
    </row>
    <row r="249" spans="1:6">
      <c r="A249" s="10" t="s">
        <v>183</v>
      </c>
      <c r="B249" s="10" t="s">
        <v>294</v>
      </c>
      <c r="C249" s="11">
        <v>3104</v>
      </c>
      <c r="D249" s="26"/>
      <c r="E249" s="70">
        <f>+Tabella2[[#This Row],[Colonna2]]/1.1</f>
        <v>4.545454545454545</v>
      </c>
      <c r="F249" s="69">
        <v>5</v>
      </c>
    </row>
    <row r="250" spans="1:6">
      <c r="A250" s="8" t="s">
        <v>183</v>
      </c>
      <c r="B250" s="8" t="s">
        <v>254</v>
      </c>
      <c r="C250" s="9">
        <v>3106</v>
      </c>
      <c r="D250" s="29"/>
      <c r="E250" s="70">
        <f>+Tabella2[[#This Row],[Colonna2]]/1.1</f>
        <v>5.1454545454545455</v>
      </c>
      <c r="F250" s="72">
        <v>5.66</v>
      </c>
    </row>
    <row r="251" spans="1:6">
      <c r="A251" s="10" t="s">
        <v>183</v>
      </c>
      <c r="B251" s="10" t="s">
        <v>182</v>
      </c>
      <c r="C251" s="11">
        <v>3108</v>
      </c>
      <c r="D251" s="26"/>
      <c r="E251" s="70">
        <f>+Tabella2[[#This Row],[Colonna2]]/1.1</f>
        <v>3.0303030303030303</v>
      </c>
      <c r="F251" s="70">
        <v>3.3333333333333335</v>
      </c>
    </row>
    <row r="252" spans="1:6">
      <c r="A252" s="8" t="s">
        <v>183</v>
      </c>
      <c r="B252" s="8" t="s">
        <v>235</v>
      </c>
      <c r="C252" s="9">
        <v>3109</v>
      </c>
      <c r="D252" s="29"/>
      <c r="E252" s="70">
        <f>+Tabella2[[#This Row],[Colonna2]]/1.1</f>
        <v>4.545454545454545</v>
      </c>
      <c r="F252" s="68">
        <v>5</v>
      </c>
    </row>
    <row r="253" spans="1:6">
      <c r="A253" s="10" t="s">
        <v>183</v>
      </c>
      <c r="B253" s="10" t="s">
        <v>295</v>
      </c>
      <c r="C253" s="11">
        <v>3111</v>
      </c>
      <c r="D253" s="26"/>
      <c r="E253" s="70">
        <f>+Tabella2[[#This Row],[Colonna2]]/1.1</f>
        <v>5.4545454545454541</v>
      </c>
      <c r="F253" s="69">
        <v>6</v>
      </c>
    </row>
    <row r="254" spans="1:6">
      <c r="A254" s="10" t="s">
        <v>150</v>
      </c>
      <c r="B254" s="10" t="s">
        <v>259</v>
      </c>
      <c r="C254" s="11">
        <v>3201</v>
      </c>
      <c r="D254" s="26"/>
      <c r="E254" s="70">
        <f>+Tabella2[[#This Row],[Colonna2]]/1.1</f>
        <v>4.8484848484848477</v>
      </c>
      <c r="F254" s="70">
        <v>5.333333333333333</v>
      </c>
    </row>
    <row r="255" spans="1:6">
      <c r="A255" s="8" t="s">
        <v>150</v>
      </c>
      <c r="B255" s="8" t="s">
        <v>289</v>
      </c>
      <c r="C255" s="9">
        <v>3202</v>
      </c>
      <c r="D255" s="29"/>
      <c r="E255" s="70">
        <f>+Tabella2[[#This Row],[Colonna2]]/1.1</f>
        <v>6.0606060606060606</v>
      </c>
      <c r="F255" s="68">
        <v>6.666666666666667</v>
      </c>
    </row>
    <row r="256" spans="1:6">
      <c r="A256" s="8" t="s">
        <v>150</v>
      </c>
      <c r="B256" s="8" t="s">
        <v>265</v>
      </c>
      <c r="C256" s="9">
        <v>3203</v>
      </c>
      <c r="D256" s="29"/>
      <c r="E256" s="70">
        <f>+Tabella2[[#This Row],[Colonna2]]/1.1</f>
        <v>4.8484848484848477</v>
      </c>
      <c r="F256" s="68">
        <v>5.333333333333333</v>
      </c>
    </row>
    <row r="257" spans="1:6">
      <c r="A257" s="10" t="s">
        <v>150</v>
      </c>
      <c r="B257" s="10" t="s">
        <v>293</v>
      </c>
      <c r="C257" s="11">
        <v>3204</v>
      </c>
      <c r="D257" s="26"/>
      <c r="E257" s="70">
        <f>+Tabella2[[#This Row],[Colonna2]]/1.1</f>
        <v>5.4545454545454541</v>
      </c>
      <c r="F257" s="70">
        <v>6</v>
      </c>
    </row>
    <row r="258" spans="1:6">
      <c r="A258" s="10" t="s">
        <v>150</v>
      </c>
      <c r="B258" s="10" t="s">
        <v>149</v>
      </c>
      <c r="C258" s="11">
        <v>3205</v>
      </c>
      <c r="D258" s="26"/>
      <c r="E258" s="70">
        <f>+Tabella2[[#This Row],[Colonna2]]/1.1</f>
        <v>15.318181818181815</v>
      </c>
      <c r="F258" s="69">
        <f>50.55/3</f>
        <v>16.849999999999998</v>
      </c>
    </row>
    <row r="259" spans="1:6">
      <c r="A259" s="8" t="s">
        <v>150</v>
      </c>
      <c r="B259" s="8" t="s">
        <v>169</v>
      </c>
      <c r="C259" s="9">
        <v>3206</v>
      </c>
      <c r="D259" s="29"/>
      <c r="E259" s="70">
        <f>+Tabella2[[#This Row],[Colonna2]]/1.1</f>
        <v>4.8484848484848477</v>
      </c>
      <c r="F259" s="68">
        <v>5.333333333333333</v>
      </c>
    </row>
    <row r="260" spans="1:6">
      <c r="A260" s="10" t="s">
        <v>150</v>
      </c>
      <c r="B260" s="10" t="s">
        <v>191</v>
      </c>
      <c r="C260" s="11">
        <v>3207</v>
      </c>
      <c r="D260" s="26"/>
      <c r="E260" s="70">
        <f>+Tabella2[[#This Row],[Colonna2]]/1.1</f>
        <v>4.2424242424242422</v>
      </c>
      <c r="F260" s="70">
        <v>4.666666666666667</v>
      </c>
    </row>
    <row r="261" spans="1:6">
      <c r="A261" s="10" t="s">
        <v>150</v>
      </c>
      <c r="B261" s="10" t="s">
        <v>606</v>
      </c>
      <c r="C261" s="11">
        <v>3208</v>
      </c>
      <c r="D261" s="26"/>
      <c r="E261" s="70">
        <f>+Tabella2[[#This Row],[Colonna2]]/1.1</f>
        <v>3.6363636363636362</v>
      </c>
      <c r="F261" s="70">
        <v>4</v>
      </c>
    </row>
    <row r="262" spans="1:6">
      <c r="A262" s="10" t="s">
        <v>150</v>
      </c>
      <c r="B262" s="10" t="s">
        <v>172</v>
      </c>
      <c r="C262" s="11">
        <v>3209</v>
      </c>
      <c r="D262" s="26"/>
      <c r="E262" s="70">
        <f>+Tabella2[[#This Row],[Colonna2]]/1.1</f>
        <v>5.1515151515151514</v>
      </c>
      <c r="F262" s="69">
        <v>5.666666666666667</v>
      </c>
    </row>
    <row r="263" spans="1:6">
      <c r="A263" s="10" t="s">
        <v>150</v>
      </c>
      <c r="B263" s="10" t="s">
        <v>153</v>
      </c>
      <c r="C263" s="11">
        <v>3210</v>
      </c>
      <c r="D263" s="26"/>
      <c r="E263" s="70">
        <f>+Tabella2[[#This Row],[Colonna2]]/1.1</f>
        <v>4.2424242424242422</v>
      </c>
      <c r="F263" s="70">
        <v>4.666666666666667</v>
      </c>
    </row>
    <row r="264" spans="1:6">
      <c r="A264" s="8" t="s">
        <v>150</v>
      </c>
      <c r="B264" s="8" t="s">
        <v>274</v>
      </c>
      <c r="C264" s="12">
        <v>3211</v>
      </c>
      <c r="D264" s="29"/>
      <c r="E264" s="70">
        <f>+Tabella2[[#This Row],[Colonna2]]/1.1</f>
        <v>9.0909090909090899</v>
      </c>
      <c r="F264" s="72">
        <v>10</v>
      </c>
    </row>
    <row r="265" spans="1:6">
      <c r="A265" s="10" t="s">
        <v>96</v>
      </c>
      <c r="B265" s="10" t="s">
        <v>95</v>
      </c>
      <c r="C265" s="13">
        <v>3301</v>
      </c>
      <c r="D265" s="26"/>
      <c r="E265" s="70">
        <f>+Tabella2[[#This Row],[Colonna2]]/1.1</f>
        <v>2.7272727272727271</v>
      </c>
      <c r="F265" s="69">
        <v>3</v>
      </c>
    </row>
    <row r="266" spans="1:6">
      <c r="A266" s="10" t="s">
        <v>96</v>
      </c>
      <c r="B266" s="10" t="s">
        <v>196</v>
      </c>
      <c r="C266" s="11">
        <v>3302</v>
      </c>
      <c r="D266" s="26"/>
      <c r="E266" s="70">
        <f>+Tabella2[[#This Row],[Colonna2]]/1.1</f>
        <v>3.0303030303030303</v>
      </c>
      <c r="F266" s="70">
        <v>3.3333333333333335</v>
      </c>
    </row>
    <row r="267" spans="1:6">
      <c r="A267" s="8" t="s">
        <v>96</v>
      </c>
      <c r="B267" s="8" t="s">
        <v>190</v>
      </c>
      <c r="C267" s="9">
        <v>3303</v>
      </c>
      <c r="D267" s="29"/>
      <c r="E267" s="70">
        <f>+Tabella2[[#This Row],[Colonna2]]/1.1</f>
        <v>2.7272727272727271</v>
      </c>
      <c r="F267" s="68">
        <v>3</v>
      </c>
    </row>
    <row r="268" spans="1:6">
      <c r="A268" s="8" t="s">
        <v>96</v>
      </c>
      <c r="B268" s="8" t="s">
        <v>154</v>
      </c>
      <c r="C268" s="9">
        <v>3304</v>
      </c>
      <c r="D268" s="29"/>
      <c r="E268" s="70">
        <f>+Tabella2[[#This Row],[Colonna2]]/1.1</f>
        <v>2.4242424242424239</v>
      </c>
      <c r="F268" s="68">
        <v>2.6666666666666665</v>
      </c>
    </row>
    <row r="269" spans="1:6">
      <c r="A269" s="10" t="s">
        <v>96</v>
      </c>
      <c r="B269" s="10" t="s">
        <v>192</v>
      </c>
      <c r="C269" s="11">
        <v>3306</v>
      </c>
      <c r="D269" s="26"/>
      <c r="E269" s="70">
        <f>+Tabella2[[#This Row],[Colonna2]]/1.1</f>
        <v>2.7272727272727271</v>
      </c>
      <c r="F269" s="70">
        <v>3</v>
      </c>
    </row>
    <row r="270" spans="1:6">
      <c r="A270" s="10" t="s">
        <v>10</v>
      </c>
      <c r="B270" s="10" t="s">
        <v>245</v>
      </c>
      <c r="C270" s="11">
        <v>3401</v>
      </c>
      <c r="D270" s="26"/>
      <c r="E270" s="70">
        <f>+Tabella2[[#This Row],[Colonna2]]/1.1</f>
        <v>1.5151515151515151</v>
      </c>
      <c r="F270" s="69">
        <v>1.6666666666666667</v>
      </c>
    </row>
    <row r="271" spans="1:6">
      <c r="A271" s="8" t="s">
        <v>10</v>
      </c>
      <c r="B271" s="8" t="s">
        <v>244</v>
      </c>
      <c r="C271" s="9">
        <v>3402</v>
      </c>
      <c r="D271" s="29"/>
      <c r="E271" s="70">
        <f>+Tabella2[[#This Row],[Colonna2]]/1.1</f>
        <v>1.5151515151515151</v>
      </c>
      <c r="F271" s="68">
        <v>1.6666666666666667</v>
      </c>
    </row>
    <row r="272" spans="1:6">
      <c r="A272" s="10" t="s">
        <v>10</v>
      </c>
      <c r="B272" s="10" t="s">
        <v>310</v>
      </c>
      <c r="C272" s="11">
        <v>3404</v>
      </c>
      <c r="D272" s="26"/>
      <c r="E272" s="70">
        <f>+Tabella2[[#This Row],[Colonna2]]/1.1</f>
        <v>1.8181818181818181</v>
      </c>
      <c r="F272" s="70">
        <v>2</v>
      </c>
    </row>
    <row r="273" spans="1:6">
      <c r="A273" s="8" t="s">
        <v>10</v>
      </c>
      <c r="B273" s="8" t="s">
        <v>198</v>
      </c>
      <c r="C273" s="9">
        <v>3405</v>
      </c>
      <c r="D273" s="29"/>
      <c r="E273" s="70">
        <f>+Tabella2[[#This Row],[Colonna2]]/1.1</f>
        <v>1.5151515151515151</v>
      </c>
      <c r="F273" s="68">
        <v>1.6666666666666667</v>
      </c>
    </row>
    <row r="274" spans="1:6">
      <c r="A274" s="8" t="s">
        <v>10</v>
      </c>
      <c r="B274" s="8" t="s">
        <v>326</v>
      </c>
      <c r="C274" s="9">
        <v>3406</v>
      </c>
      <c r="D274" s="29"/>
      <c r="E274" s="70">
        <f>+Tabella2[[#This Row],[Colonna2]]/1.1</f>
        <v>1.5151515151515151</v>
      </c>
      <c r="F274" s="68">
        <v>1.6666666666666667</v>
      </c>
    </row>
    <row r="275" spans="1:6">
      <c r="A275" s="8" t="s">
        <v>10</v>
      </c>
      <c r="B275" s="8" t="s">
        <v>327</v>
      </c>
      <c r="C275" s="9">
        <v>3408</v>
      </c>
      <c r="D275" s="29"/>
      <c r="E275" s="70">
        <f>+Tabella2[[#This Row],[Colonna2]]/1.1</f>
        <v>1.5151515151515151</v>
      </c>
      <c r="F275" s="68">
        <v>1.6666666666666667</v>
      </c>
    </row>
    <row r="276" spans="1:6">
      <c r="A276" s="8" t="s">
        <v>134</v>
      </c>
      <c r="B276" s="8" t="s">
        <v>133</v>
      </c>
      <c r="C276" s="8">
        <v>3501</v>
      </c>
      <c r="D276" s="29"/>
      <c r="E276" s="70">
        <f>+Tabella2[[#This Row],[Colonna2]]/1.1</f>
        <v>3.0303030303030303</v>
      </c>
      <c r="F276" s="72">
        <v>3.3333333333333335</v>
      </c>
    </row>
    <row r="277" spans="1:6">
      <c r="A277" s="8" t="s">
        <v>134</v>
      </c>
      <c r="B277" s="8" t="s">
        <v>197</v>
      </c>
      <c r="C277" s="9">
        <v>3502</v>
      </c>
      <c r="D277" s="29"/>
      <c r="E277" s="70">
        <f>+Tabella2[[#This Row],[Colonna2]]/1.1</f>
        <v>3.6363636363636362</v>
      </c>
      <c r="F277" s="68">
        <v>4</v>
      </c>
    </row>
    <row r="278" spans="1:6">
      <c r="A278" s="8" t="s">
        <v>134</v>
      </c>
      <c r="B278" s="8" t="s">
        <v>328</v>
      </c>
      <c r="C278" s="9">
        <v>3503</v>
      </c>
      <c r="D278" s="29"/>
      <c r="E278" s="70">
        <f>+Tabella2[[#This Row],[Colonna2]]/1.1</f>
        <v>3.0303030303030303</v>
      </c>
      <c r="F278" s="68">
        <v>3.3333333333333335</v>
      </c>
    </row>
    <row r="279" spans="1:6">
      <c r="A279" s="10" t="s">
        <v>152</v>
      </c>
      <c r="B279" s="10" t="s">
        <v>256</v>
      </c>
      <c r="C279" s="10">
        <v>3602</v>
      </c>
      <c r="D279" s="26"/>
      <c r="E279" s="70">
        <f>+Tabella2[[#This Row],[Colonna2]]/1.1</f>
        <v>3.0303030303030303</v>
      </c>
      <c r="F279" s="69">
        <v>3.3333333333333335</v>
      </c>
    </row>
    <row r="280" spans="1:6">
      <c r="A280" s="10" t="s">
        <v>152</v>
      </c>
      <c r="B280" s="10" t="s">
        <v>624</v>
      </c>
      <c r="C280" s="10">
        <v>3603</v>
      </c>
      <c r="D280" s="26"/>
      <c r="E280" s="70">
        <f>+Tabella2[[#This Row],[Colonna2]]/1.1</f>
        <v>3.0303030303030303</v>
      </c>
      <c r="F280" s="69">
        <v>3.3333333333333335</v>
      </c>
    </row>
    <row r="281" spans="1:6">
      <c r="A281" s="10" t="s">
        <v>152</v>
      </c>
      <c r="B281" s="10" t="s">
        <v>189</v>
      </c>
      <c r="C281" s="11">
        <v>3605</v>
      </c>
      <c r="D281" s="26"/>
      <c r="E281" s="70">
        <f>+Tabella2[[#This Row],[Colonna2]]/1.1</f>
        <v>3.0303030303030303</v>
      </c>
      <c r="F281" s="70">
        <v>3.3333333333333335</v>
      </c>
    </row>
    <row r="282" spans="1:6">
      <c r="A282" s="8" t="s">
        <v>152</v>
      </c>
      <c r="B282" s="8" t="s">
        <v>151</v>
      </c>
      <c r="C282" s="9">
        <v>3606</v>
      </c>
      <c r="D282" s="29"/>
      <c r="E282" s="70">
        <f>+Tabella2[[#This Row],[Colonna2]]/1.1</f>
        <v>3.0303030303030303</v>
      </c>
      <c r="F282" s="72">
        <v>3.3333333333333335</v>
      </c>
    </row>
    <row r="283" spans="1:6">
      <c r="A283" s="10" t="s">
        <v>137</v>
      </c>
      <c r="B283" s="10" t="s">
        <v>303</v>
      </c>
      <c r="C283" s="11">
        <v>4001</v>
      </c>
      <c r="D283" s="26"/>
      <c r="E283" s="70">
        <f>+Tabella2[[#This Row],[Colonna2]]/1.1</f>
        <v>1.8181818181818181</v>
      </c>
      <c r="F283" s="70">
        <v>2</v>
      </c>
    </row>
    <row r="284" spans="1:6">
      <c r="A284" s="8" t="s">
        <v>137</v>
      </c>
      <c r="B284" s="8" t="s">
        <v>156</v>
      </c>
      <c r="C284" s="9">
        <v>4002</v>
      </c>
      <c r="D284" s="29">
        <v>10.71</v>
      </c>
      <c r="E284" s="22">
        <f>+Tabella2[[#This Row],[COSTO TOT.]]/30</f>
        <v>0.35700000000000004</v>
      </c>
    </row>
    <row r="285" spans="1:6">
      <c r="A285" s="8" t="s">
        <v>137</v>
      </c>
      <c r="B285" s="8" t="s">
        <v>136</v>
      </c>
      <c r="C285" s="9">
        <v>4003</v>
      </c>
      <c r="D285" s="29">
        <v>24.19</v>
      </c>
      <c r="E285" s="22">
        <f>+Tabella2[[#This Row],[COSTO TOT.]]/12</f>
        <v>2.0158333333333336</v>
      </c>
    </row>
    <row r="286" spans="1:6">
      <c r="A286" s="8" t="s">
        <v>137</v>
      </c>
      <c r="B286" s="8" t="s">
        <v>163</v>
      </c>
      <c r="C286" s="9">
        <v>4004</v>
      </c>
      <c r="D286" s="29"/>
      <c r="E286" s="70">
        <f>+Tabella2[[#This Row],[Colonna2]]/1.1</f>
        <v>1.8181818181818181</v>
      </c>
      <c r="F286" s="16">
        <v>2</v>
      </c>
    </row>
    <row r="287" spans="1:6">
      <c r="A287" s="10" t="s">
        <v>137</v>
      </c>
      <c r="B287" s="10" t="s">
        <v>307</v>
      </c>
      <c r="C287" s="11">
        <v>4006</v>
      </c>
      <c r="D287" s="29">
        <v>24.04</v>
      </c>
      <c r="E287" s="22">
        <f>+Tabella2[[#This Row],[COSTO TOT.]]/14</f>
        <v>1.7171428571428571</v>
      </c>
    </row>
    <row r="288" spans="1:6">
      <c r="A288" s="10" t="s">
        <v>137</v>
      </c>
      <c r="B288" s="10" t="s">
        <v>227</v>
      </c>
      <c r="C288" s="11">
        <v>4007</v>
      </c>
      <c r="D288" s="26">
        <v>42.05</v>
      </c>
      <c r="E288" s="23">
        <f>+Tabella2[[#This Row],[COSTO TOT.]]/30</f>
        <v>1.4016666666666666</v>
      </c>
    </row>
    <row r="289" spans="1:5">
      <c r="A289" s="8" t="s">
        <v>137</v>
      </c>
      <c r="B289" s="8" t="s">
        <v>226</v>
      </c>
      <c r="C289" s="9">
        <v>4008</v>
      </c>
      <c r="D289" s="26">
        <v>42.05</v>
      </c>
      <c r="E289" s="23">
        <f>+Tabella2[[#This Row],[COSTO TOT.]]/30</f>
        <v>1.4016666666666666</v>
      </c>
    </row>
    <row r="290" spans="1:5">
      <c r="A290" s="8" t="s">
        <v>137</v>
      </c>
      <c r="B290" s="8" t="s">
        <v>329</v>
      </c>
      <c r="C290" s="9">
        <v>4010</v>
      </c>
      <c r="D290" s="29">
        <v>39.200000000000003</v>
      </c>
      <c r="E290" s="22">
        <f>+Tabella2[[#This Row],[COSTO TOT.]]/16</f>
        <v>2.4500000000000002</v>
      </c>
    </row>
    <row r="291" spans="1:5">
      <c r="A291" s="8" t="s">
        <v>52</v>
      </c>
      <c r="B291" s="8" t="s">
        <v>211</v>
      </c>
      <c r="C291" s="19">
        <v>4101</v>
      </c>
      <c r="D291" s="29"/>
      <c r="E291" s="25">
        <v>1.74</v>
      </c>
    </row>
    <row r="292" spans="1:5">
      <c r="A292" s="10" t="s">
        <v>52</v>
      </c>
      <c r="B292" s="10" t="s">
        <v>212</v>
      </c>
      <c r="C292" s="11">
        <v>4102</v>
      </c>
      <c r="D292" s="26"/>
      <c r="E292" s="24">
        <v>0.94</v>
      </c>
    </row>
    <row r="293" spans="1:5">
      <c r="A293" s="8" t="s">
        <v>52</v>
      </c>
      <c r="B293" s="8" t="s">
        <v>53</v>
      </c>
      <c r="C293" s="34">
        <v>4103</v>
      </c>
      <c r="D293" s="29"/>
      <c r="E293" s="25">
        <v>3.04</v>
      </c>
    </row>
    <row r="294" spans="1:5" ht="15" customHeight="1">
      <c r="A294" s="8" t="s">
        <v>52</v>
      </c>
      <c r="B294" s="8" t="s">
        <v>51</v>
      </c>
      <c r="C294" s="9">
        <v>4104</v>
      </c>
      <c r="D294" s="29"/>
      <c r="E294" s="22">
        <v>2.41</v>
      </c>
    </row>
    <row r="295" spans="1:5" ht="15" customHeight="1">
      <c r="A295" s="8" t="s">
        <v>52</v>
      </c>
      <c r="B295" s="8" t="s">
        <v>127</v>
      </c>
      <c r="C295" s="9">
        <v>4105</v>
      </c>
      <c r="D295" s="29"/>
      <c r="E295" s="22">
        <v>3.44</v>
      </c>
    </row>
    <row r="296" spans="1:5" ht="15" customHeight="1">
      <c r="A296" s="8" t="s">
        <v>52</v>
      </c>
      <c r="B296" s="8" t="s">
        <v>160</v>
      </c>
      <c r="C296" s="9">
        <v>4106</v>
      </c>
      <c r="D296" s="29"/>
      <c r="E296" s="22">
        <v>2</v>
      </c>
    </row>
    <row r="297" spans="1:5" ht="15" customHeight="1">
      <c r="A297" s="10" t="s">
        <v>52</v>
      </c>
      <c r="B297" s="10" t="s">
        <v>228</v>
      </c>
      <c r="C297" s="11">
        <v>4107</v>
      </c>
      <c r="D297" s="26"/>
      <c r="E297" s="23">
        <v>2.11</v>
      </c>
    </row>
    <row r="298" spans="1:5" ht="15" customHeight="1">
      <c r="A298" s="8" t="s">
        <v>52</v>
      </c>
      <c r="B298" s="8" t="s">
        <v>233</v>
      </c>
      <c r="C298" s="9">
        <v>4108</v>
      </c>
      <c r="D298" s="29"/>
      <c r="E298" s="22">
        <v>2.27</v>
      </c>
    </row>
    <row r="299" spans="1:5" ht="15" customHeight="1">
      <c r="A299" s="8" t="s">
        <v>52</v>
      </c>
      <c r="B299" s="8" t="s">
        <v>261</v>
      </c>
      <c r="C299" s="9">
        <v>4109</v>
      </c>
      <c r="D299" s="29"/>
      <c r="E299" s="25">
        <v>2.82</v>
      </c>
    </row>
    <row r="300" spans="1:5" ht="15" customHeight="1">
      <c r="A300" s="8" t="s">
        <v>52</v>
      </c>
      <c r="B300" s="8" t="s">
        <v>266</v>
      </c>
      <c r="C300" s="9">
        <v>4110</v>
      </c>
      <c r="D300" s="29"/>
      <c r="E300" s="22">
        <v>3.27</v>
      </c>
    </row>
    <row r="301" spans="1:5" ht="15" customHeight="1">
      <c r="A301" s="8" t="s">
        <v>52</v>
      </c>
      <c r="B301" s="8" t="s">
        <v>97</v>
      </c>
      <c r="C301" s="9">
        <v>4111</v>
      </c>
      <c r="D301" s="29"/>
      <c r="E301" s="22">
        <v>2.25</v>
      </c>
    </row>
    <row r="302" spans="1:5" ht="15" customHeight="1">
      <c r="A302" s="10" t="s">
        <v>52</v>
      </c>
      <c r="B302" s="10" t="s">
        <v>300</v>
      </c>
      <c r="C302" s="11">
        <v>4112</v>
      </c>
      <c r="D302" s="26"/>
      <c r="E302" s="23">
        <v>2.06</v>
      </c>
    </row>
    <row r="303" spans="1:5" ht="15" customHeight="1">
      <c r="A303" s="8" t="s">
        <v>52</v>
      </c>
      <c r="B303" s="8" t="s">
        <v>241</v>
      </c>
      <c r="C303" s="9">
        <v>4113</v>
      </c>
      <c r="D303" s="29"/>
      <c r="E303" s="22">
        <v>2.3199999999999998</v>
      </c>
    </row>
    <row r="304" spans="1:5" ht="15" customHeight="1">
      <c r="A304" s="10" t="s">
        <v>52</v>
      </c>
      <c r="B304" s="10" t="s">
        <v>240</v>
      </c>
      <c r="C304" s="11">
        <v>4114</v>
      </c>
      <c r="D304" s="26"/>
      <c r="E304" s="23">
        <v>2.74</v>
      </c>
    </row>
    <row r="305" spans="1:5" ht="15" customHeight="1">
      <c r="A305" s="8" t="s">
        <v>52</v>
      </c>
      <c r="B305" s="8" t="s">
        <v>131</v>
      </c>
      <c r="C305" s="9">
        <v>4115</v>
      </c>
      <c r="D305" s="29"/>
      <c r="E305" s="22">
        <v>2.62</v>
      </c>
    </row>
    <row r="306" spans="1:5" ht="15" customHeight="1">
      <c r="A306" s="10" t="s">
        <v>52</v>
      </c>
      <c r="B306" s="10" t="s">
        <v>237</v>
      </c>
      <c r="C306" s="11">
        <v>4116</v>
      </c>
      <c r="D306" s="26"/>
      <c r="E306" s="24">
        <v>0.3</v>
      </c>
    </row>
    <row r="307" spans="1:5" ht="15" customHeight="1">
      <c r="A307" s="10" t="s">
        <v>85</v>
      </c>
      <c r="B307" s="10" t="s">
        <v>222</v>
      </c>
      <c r="C307" s="11">
        <v>4201</v>
      </c>
      <c r="D307" s="26"/>
      <c r="E307" s="24">
        <v>2.27</v>
      </c>
    </row>
    <row r="308" spans="1:5" ht="15" customHeight="1">
      <c r="A308" s="8" t="s">
        <v>85</v>
      </c>
      <c r="B308" s="8" t="s">
        <v>218</v>
      </c>
      <c r="C308" s="9">
        <v>4202</v>
      </c>
      <c r="D308" s="29"/>
      <c r="E308" s="25">
        <v>2.7</v>
      </c>
    </row>
    <row r="309" spans="1:5" ht="15" customHeight="1">
      <c r="A309" s="8" t="s">
        <v>85</v>
      </c>
      <c r="B309" s="8" t="s">
        <v>188</v>
      </c>
      <c r="C309" s="9">
        <v>4203</v>
      </c>
      <c r="D309" s="29"/>
      <c r="E309" s="22">
        <v>3.2</v>
      </c>
    </row>
    <row r="310" spans="1:5" ht="15" customHeight="1">
      <c r="A310" s="8" t="s">
        <v>85</v>
      </c>
      <c r="B310" s="8" t="s">
        <v>224</v>
      </c>
      <c r="C310" s="9">
        <v>4204</v>
      </c>
      <c r="D310" s="29"/>
      <c r="E310" s="22">
        <v>4.3600000000000003</v>
      </c>
    </row>
    <row r="311" spans="1:5" ht="15" customHeight="1">
      <c r="A311" s="8" t="s">
        <v>85</v>
      </c>
      <c r="B311" s="8" t="s">
        <v>252</v>
      </c>
      <c r="C311" s="9">
        <v>4205</v>
      </c>
      <c r="D311" s="29"/>
      <c r="E311" s="22">
        <v>2.95</v>
      </c>
    </row>
    <row r="312" spans="1:5" ht="15" customHeight="1">
      <c r="A312" s="8" t="s">
        <v>85</v>
      </c>
      <c r="B312" s="8" t="s">
        <v>84</v>
      </c>
      <c r="C312" s="9">
        <v>4206</v>
      </c>
      <c r="D312" s="29"/>
      <c r="E312" s="22">
        <v>3.99</v>
      </c>
    </row>
    <row r="313" spans="1:5" ht="15" customHeight="1">
      <c r="A313" s="10" t="s">
        <v>85</v>
      </c>
      <c r="B313" s="10" t="s">
        <v>209</v>
      </c>
      <c r="C313" s="11">
        <v>4207</v>
      </c>
      <c r="D313" s="26"/>
      <c r="E313" s="23">
        <v>3.99</v>
      </c>
    </row>
    <row r="314" spans="1:5" ht="15" customHeight="1">
      <c r="A314" s="10" t="s">
        <v>85</v>
      </c>
      <c r="B314" s="10" t="s">
        <v>264</v>
      </c>
      <c r="C314" s="11">
        <v>4208</v>
      </c>
      <c r="D314" s="26"/>
      <c r="E314" s="23">
        <v>2.95</v>
      </c>
    </row>
    <row r="315" spans="1:5" ht="15" customHeight="1">
      <c r="A315" s="10" t="s">
        <v>85</v>
      </c>
      <c r="B315" s="10" t="s">
        <v>123</v>
      </c>
      <c r="C315" s="11">
        <v>4209</v>
      </c>
      <c r="D315" s="26"/>
      <c r="E315" s="24">
        <v>3.47</v>
      </c>
    </row>
    <row r="316" spans="1:5" ht="15" customHeight="1">
      <c r="A316" s="10" t="s">
        <v>85</v>
      </c>
      <c r="B316" s="10" t="s">
        <v>168</v>
      </c>
      <c r="C316" s="11">
        <v>4210</v>
      </c>
      <c r="D316" s="26"/>
      <c r="E316" s="23">
        <v>2.06</v>
      </c>
    </row>
    <row r="317" spans="1:5" ht="15" customHeight="1">
      <c r="A317" s="8" t="s">
        <v>232</v>
      </c>
      <c r="B317" s="8" t="s">
        <v>231</v>
      </c>
      <c r="C317" s="9">
        <v>4401</v>
      </c>
      <c r="D317" s="29"/>
      <c r="E317" s="22">
        <v>1.23</v>
      </c>
    </row>
    <row r="318" spans="1:5" ht="15" customHeight="1">
      <c r="A318" s="8" t="s">
        <v>232</v>
      </c>
      <c r="B318" s="8" t="s">
        <v>247</v>
      </c>
      <c r="C318" s="9">
        <v>4402</v>
      </c>
      <c r="D318" s="29"/>
      <c r="E318" s="22">
        <v>1.57</v>
      </c>
    </row>
    <row r="319" spans="1:5" ht="15" customHeight="1">
      <c r="A319" s="8"/>
      <c r="B319" s="8"/>
      <c r="C319" s="9"/>
      <c r="D319" s="29"/>
      <c r="E319" s="22"/>
    </row>
    <row r="320" spans="1:5" ht="15" customHeight="1">
      <c r="A320" s="8"/>
      <c r="B320" s="8"/>
      <c r="C320" s="9"/>
      <c r="D320" s="29"/>
      <c r="E320" s="22"/>
    </row>
    <row r="321" spans="1:5" ht="15" customHeight="1">
      <c r="A321" s="8"/>
      <c r="B321" s="8"/>
      <c r="C321" s="9"/>
      <c r="D321" s="29"/>
      <c r="E321" s="22"/>
    </row>
    <row r="322" spans="1:5" ht="15" customHeight="1">
      <c r="A322" s="8"/>
      <c r="B322" s="8"/>
      <c r="C322" s="9"/>
      <c r="D322" s="29"/>
      <c r="E322" s="22"/>
    </row>
    <row r="323" spans="1:5" ht="15" customHeight="1">
      <c r="A323" s="8"/>
      <c r="B323" s="8"/>
      <c r="C323" s="9"/>
      <c r="D323" s="29"/>
      <c r="E323" s="22"/>
    </row>
    <row r="324" spans="1:5" ht="15" customHeight="1">
      <c r="A324" s="8"/>
      <c r="B324" s="8"/>
      <c r="C324" s="9"/>
      <c r="D324" s="29"/>
      <c r="E324" s="22"/>
    </row>
    <row r="325" spans="1:5" ht="15" customHeight="1">
      <c r="A325" s="8"/>
      <c r="B325" s="8"/>
      <c r="C325" s="9"/>
      <c r="D325" s="29"/>
      <c r="E325" s="22"/>
    </row>
    <row r="326" spans="1:5" ht="15" customHeight="1">
      <c r="A326" s="8"/>
      <c r="B326" s="8"/>
      <c r="C326" s="9"/>
      <c r="D326" s="29"/>
      <c r="E326" s="22"/>
    </row>
    <row r="327" spans="1:5" ht="15" customHeight="1">
      <c r="A327" s="8"/>
      <c r="B327" s="8"/>
      <c r="C327" s="9"/>
      <c r="D327" s="29"/>
      <c r="E327" s="22"/>
    </row>
    <row r="328" spans="1:5" ht="15" customHeight="1">
      <c r="A328" s="8"/>
      <c r="B328" s="8"/>
      <c r="C328" s="9"/>
      <c r="D328" s="29"/>
      <c r="E328" s="22"/>
    </row>
    <row r="329" spans="1:5" ht="15" customHeight="1">
      <c r="A329" s="8"/>
      <c r="B329" s="8"/>
      <c r="C329" s="9"/>
      <c r="D329" s="29"/>
      <c r="E329" s="22"/>
    </row>
    <row r="330" spans="1:5" ht="15" customHeight="1">
      <c r="A330" s="8"/>
      <c r="B330" s="8"/>
      <c r="C330" s="9"/>
      <c r="D330" s="29"/>
      <c r="E330" s="22"/>
    </row>
    <row r="331" spans="1:5" ht="15" customHeight="1">
      <c r="A331" s="8"/>
      <c r="B331" s="8"/>
      <c r="C331" s="9"/>
      <c r="D331" s="29"/>
      <c r="E331" s="22"/>
    </row>
    <row r="332" spans="1:5" ht="15" customHeight="1">
      <c r="A332" s="8"/>
      <c r="B332" s="8"/>
      <c r="C332" s="9"/>
      <c r="D332" s="29"/>
      <c r="E332" s="22"/>
    </row>
    <row r="333" spans="1:5" ht="15" customHeight="1">
      <c r="A333" s="8"/>
      <c r="B333" s="8"/>
      <c r="C333" s="9"/>
      <c r="D333" s="29"/>
      <c r="E333" s="22"/>
    </row>
    <row r="334" spans="1:5" ht="15" customHeight="1">
      <c r="A334" s="8"/>
      <c r="B334" s="8"/>
      <c r="C334" s="9"/>
      <c r="D334" s="29"/>
      <c r="E334" s="22"/>
    </row>
    <row r="335" spans="1:5" ht="15" customHeight="1">
      <c r="A335" s="8"/>
      <c r="B335" s="8"/>
      <c r="C335" s="9"/>
      <c r="D335" s="29"/>
      <c r="E335" s="22"/>
    </row>
    <row r="336" spans="1:5" ht="15" customHeight="1">
      <c r="A336" s="8"/>
      <c r="B336" s="8"/>
      <c r="C336" s="9"/>
      <c r="D336" s="29"/>
      <c r="E336" s="22"/>
    </row>
    <row r="337" spans="1:5" ht="15" customHeight="1">
      <c r="A337" s="8"/>
      <c r="B337" s="8"/>
      <c r="C337" s="9"/>
      <c r="D337" s="29"/>
      <c r="E337" s="22"/>
    </row>
    <row r="338" spans="1:5" ht="15" customHeight="1">
      <c r="A338" s="8"/>
      <c r="B338" s="8"/>
      <c r="C338" s="9"/>
      <c r="D338" s="29"/>
      <c r="E338" s="22"/>
    </row>
    <row r="339" spans="1:5" ht="15" customHeight="1">
      <c r="A339" s="8"/>
      <c r="B339" s="8"/>
      <c r="C339" s="9"/>
      <c r="D339" s="29"/>
      <c r="E339" s="22"/>
    </row>
    <row r="340" spans="1:5" ht="15" customHeight="1">
      <c r="A340" s="8"/>
      <c r="B340" s="8"/>
      <c r="C340" s="9"/>
      <c r="D340" s="29"/>
      <c r="E340" s="22"/>
    </row>
    <row r="341" spans="1:5" ht="15" customHeight="1">
      <c r="A341" s="8"/>
      <c r="B341" s="8"/>
      <c r="C341" s="9"/>
      <c r="D341" s="29"/>
      <c r="E341" s="22"/>
    </row>
    <row r="342" spans="1:5" ht="15" customHeight="1">
      <c r="A342" s="8"/>
      <c r="B342" s="8"/>
      <c r="C342" s="9"/>
      <c r="D342" s="29"/>
      <c r="E342" s="22"/>
    </row>
    <row r="343" spans="1:5" ht="15" customHeight="1">
      <c r="A343" s="8"/>
      <c r="B343" s="8"/>
      <c r="C343" s="9"/>
      <c r="D343" s="29"/>
      <c r="E343" s="22"/>
    </row>
    <row r="344" spans="1:5" ht="15" customHeight="1">
      <c r="A344" s="8"/>
      <c r="B344" s="8"/>
      <c r="C344" s="9"/>
      <c r="D344" s="29"/>
      <c r="E344" s="22"/>
    </row>
    <row r="345" spans="1:5" ht="15" customHeight="1">
      <c r="A345" s="8"/>
      <c r="B345" s="8"/>
      <c r="C345" s="9"/>
      <c r="D345" s="29"/>
      <c r="E345" s="22"/>
    </row>
    <row r="346" spans="1:5" ht="15" customHeight="1">
      <c r="A346" s="8"/>
      <c r="B346" s="8"/>
      <c r="C346" s="9"/>
      <c r="D346" s="29"/>
      <c r="E346" s="22"/>
    </row>
    <row r="347" spans="1:5" ht="15" customHeight="1">
      <c r="A347" s="8"/>
      <c r="B347" s="8"/>
      <c r="C347" s="9"/>
      <c r="D347" s="29"/>
      <c r="E347" s="22"/>
    </row>
    <row r="348" spans="1:5" ht="15" customHeight="1">
      <c r="A348" s="8"/>
      <c r="B348" s="8"/>
      <c r="C348" s="9"/>
      <c r="D348" s="29"/>
      <c r="E348" s="22"/>
    </row>
    <row r="349" spans="1:5" ht="15" customHeight="1">
      <c r="A349" s="8"/>
      <c r="B349" s="8"/>
      <c r="C349" s="9"/>
      <c r="D349" s="29"/>
      <c r="E349" s="22"/>
    </row>
    <row r="350" spans="1:5" ht="15" customHeight="1">
      <c r="A350" s="8"/>
      <c r="B350" s="8"/>
      <c r="C350" s="9"/>
      <c r="D350" s="29"/>
      <c r="E350" s="22"/>
    </row>
    <row r="351" spans="1:5" ht="15" customHeight="1">
      <c r="A351" s="8"/>
      <c r="B351" s="8"/>
      <c r="C351" s="9"/>
      <c r="D351" s="29"/>
      <c r="E351" s="22"/>
    </row>
    <row r="352" spans="1:5" ht="15" customHeight="1">
      <c r="A352" s="8"/>
      <c r="B352" s="8"/>
      <c r="C352" s="9"/>
      <c r="D352" s="29"/>
      <c r="E352" s="22"/>
    </row>
    <row r="353" spans="1:5" ht="15" customHeight="1">
      <c r="A353" s="8"/>
      <c r="B353" s="8"/>
      <c r="C353" s="9"/>
      <c r="D353" s="29"/>
      <c r="E353" s="22"/>
    </row>
    <row r="354" spans="1:5" ht="15" customHeight="1">
      <c r="A354" s="8"/>
      <c r="B354" s="8"/>
      <c r="C354" s="9"/>
      <c r="D354" s="29"/>
      <c r="E354" s="22"/>
    </row>
    <row r="355" spans="1:5" ht="15" customHeight="1">
      <c r="A355" s="8"/>
      <c r="B355" s="8"/>
      <c r="C355" s="9"/>
      <c r="D355" s="29"/>
      <c r="E355" s="22"/>
    </row>
    <row r="356" spans="1:5" ht="15" customHeight="1">
      <c r="A356" s="8"/>
      <c r="B356" s="8"/>
      <c r="C356" s="9"/>
      <c r="D356" s="29"/>
      <c r="E356" s="22"/>
    </row>
    <row r="357" spans="1:5" ht="15" customHeight="1">
      <c r="A357" s="8"/>
      <c r="B357" s="8"/>
      <c r="C357" s="9"/>
      <c r="D357" s="29"/>
      <c r="E357" s="22"/>
    </row>
    <row r="358" spans="1:5" ht="15" customHeight="1">
      <c r="A358" s="8"/>
      <c r="B358" s="8"/>
      <c r="C358" s="9"/>
      <c r="D358" s="29"/>
      <c r="E358" s="22"/>
    </row>
    <row r="359" spans="1:5" ht="15" customHeight="1">
      <c r="A359" s="8"/>
      <c r="B359" s="8"/>
      <c r="C359" s="9"/>
      <c r="D359" s="29"/>
      <c r="E359" s="22"/>
    </row>
    <row r="360" spans="1:5" ht="15" customHeight="1">
      <c r="A360" s="8"/>
      <c r="B360" s="8"/>
      <c r="C360" s="9"/>
      <c r="D360" s="29"/>
      <c r="E360" s="22"/>
    </row>
    <row r="361" spans="1:5" ht="15" customHeight="1">
      <c r="A361" s="8"/>
      <c r="B361" s="8"/>
      <c r="C361" s="9"/>
      <c r="D361" s="29"/>
      <c r="E361" s="22"/>
    </row>
    <row r="362" spans="1:5" ht="15" customHeight="1">
      <c r="A362" s="8"/>
      <c r="B362" s="8"/>
      <c r="C362" s="9"/>
      <c r="D362" s="29"/>
      <c r="E362" s="22"/>
    </row>
    <row r="363" spans="1:5" ht="15" customHeight="1">
      <c r="A363" s="8"/>
      <c r="B363" s="8"/>
      <c r="C363" s="9"/>
      <c r="D363" s="29"/>
      <c r="E363" s="22"/>
    </row>
    <row r="364" spans="1:5" ht="15" customHeight="1">
      <c r="A364" s="8"/>
      <c r="B364" s="8"/>
      <c r="C364" s="9"/>
      <c r="D364" s="29"/>
      <c r="E364" s="22"/>
    </row>
    <row r="365" spans="1:5" ht="15" customHeight="1">
      <c r="A365" s="8"/>
      <c r="B365" s="8"/>
      <c r="C365" s="9"/>
      <c r="D365" s="29"/>
      <c r="E365" s="22"/>
    </row>
    <row r="366" spans="1:5" ht="15" customHeight="1">
      <c r="A366" s="8"/>
      <c r="B366" s="8"/>
      <c r="C366" s="9"/>
      <c r="D366" s="29"/>
      <c r="E366" s="22"/>
    </row>
    <row r="367" spans="1:5" ht="15" customHeight="1">
      <c r="A367" s="8"/>
      <c r="B367" s="8"/>
      <c r="C367" s="9"/>
      <c r="D367" s="29"/>
      <c r="E367" s="22"/>
    </row>
    <row r="368" spans="1:5" ht="15" customHeight="1">
      <c r="A368" s="8"/>
      <c r="B368" s="8"/>
      <c r="C368" s="9"/>
      <c r="D368" s="29"/>
      <c r="E368" s="22"/>
    </row>
    <row r="369" spans="1:5" ht="15" customHeight="1">
      <c r="A369" s="8"/>
      <c r="B369" s="8"/>
      <c r="C369" s="9"/>
      <c r="D369" s="29"/>
      <c r="E369" s="22"/>
    </row>
    <row r="370" spans="1:5" ht="15" customHeight="1">
      <c r="A370" s="8"/>
      <c r="B370" s="8"/>
      <c r="C370" s="9"/>
      <c r="D370" s="29"/>
      <c r="E370" s="22"/>
    </row>
    <row r="371" spans="1:5" ht="15" customHeight="1">
      <c r="A371" s="8"/>
      <c r="B371" s="8"/>
      <c r="C371" s="9"/>
      <c r="D371" s="29"/>
      <c r="E371" s="22"/>
    </row>
    <row r="372" spans="1:5" ht="15" customHeight="1">
      <c r="A372" s="8"/>
      <c r="B372" s="8"/>
      <c r="C372" s="9"/>
      <c r="D372" s="29"/>
      <c r="E372" s="22"/>
    </row>
    <row r="373" spans="1:5" ht="15" customHeight="1">
      <c r="A373" s="8"/>
      <c r="B373" s="8"/>
      <c r="C373" s="9"/>
      <c r="D373" s="29"/>
      <c r="E373" s="22"/>
    </row>
    <row r="374" spans="1:5" ht="15" customHeight="1">
      <c r="A374" s="8"/>
      <c r="B374" s="8"/>
      <c r="C374" s="9"/>
      <c r="D374" s="29"/>
      <c r="E374" s="22"/>
    </row>
    <row r="375" spans="1:5" ht="15" customHeight="1">
      <c r="A375" s="8"/>
      <c r="B375" s="8"/>
      <c r="C375" s="9"/>
      <c r="D375" s="29"/>
      <c r="E375" s="22"/>
    </row>
    <row r="376" spans="1:5" ht="15" customHeight="1">
      <c r="A376" s="8"/>
      <c r="B376" s="8"/>
      <c r="C376" s="9"/>
      <c r="D376" s="29"/>
      <c r="E376" s="22"/>
    </row>
    <row r="377" spans="1:5" ht="15" customHeight="1">
      <c r="A377" s="8"/>
      <c r="B377" s="8"/>
      <c r="C377" s="9"/>
      <c r="D377" s="29"/>
      <c r="E377" s="22"/>
    </row>
    <row r="378" spans="1:5" ht="15" customHeight="1">
      <c r="A378" s="8"/>
      <c r="B378" s="8"/>
      <c r="C378" s="9"/>
      <c r="D378" s="29"/>
      <c r="E378" s="22"/>
    </row>
    <row r="379" spans="1:5" ht="15" customHeight="1">
      <c r="A379" s="8"/>
      <c r="B379" s="8"/>
      <c r="C379" s="9"/>
      <c r="D379" s="29"/>
      <c r="E379" s="22"/>
    </row>
    <row r="380" spans="1:5" ht="15" customHeight="1">
      <c r="A380" s="8"/>
      <c r="B380" s="8"/>
      <c r="C380" s="9"/>
      <c r="D380" s="29"/>
      <c r="E380" s="22"/>
    </row>
    <row r="381" spans="1:5" ht="15" customHeight="1">
      <c r="A381" s="8"/>
      <c r="B381" s="8"/>
      <c r="C381" s="9"/>
      <c r="D381" s="29"/>
      <c r="E381" s="22"/>
    </row>
    <row r="382" spans="1:5" ht="15" customHeight="1">
      <c r="A382" s="8"/>
      <c r="B382" s="8"/>
      <c r="C382" s="9"/>
      <c r="D382" s="29"/>
      <c r="E382" s="22"/>
    </row>
    <row r="383" spans="1:5" ht="15" customHeight="1">
      <c r="A383" s="8"/>
      <c r="B383" s="8"/>
      <c r="C383" s="9"/>
      <c r="D383" s="29"/>
      <c r="E383" s="22"/>
    </row>
    <row r="384" spans="1:5" ht="15" customHeight="1">
      <c r="A384" s="8"/>
      <c r="B384" s="8"/>
      <c r="C384" s="9"/>
      <c r="D384" s="29"/>
      <c r="E384" s="22"/>
    </row>
    <row r="385" spans="1:5" ht="15" customHeight="1">
      <c r="A385" s="8"/>
      <c r="B385" s="8"/>
      <c r="C385" s="9"/>
      <c r="D385" s="29"/>
      <c r="E385" s="22"/>
    </row>
    <row r="386" spans="1:5" ht="15" customHeight="1">
      <c r="A386" s="8"/>
      <c r="B386" s="8"/>
      <c r="C386" s="9"/>
      <c r="D386" s="29"/>
      <c r="E386" s="22"/>
    </row>
    <row r="387" spans="1:5" ht="15" customHeight="1">
      <c r="A387" s="8"/>
      <c r="B387" s="8"/>
      <c r="C387" s="9"/>
      <c r="D387" s="29"/>
      <c r="E387" s="22"/>
    </row>
    <row r="388" spans="1:5" ht="15" customHeight="1">
      <c r="A388" s="8"/>
      <c r="B388" s="8"/>
      <c r="C388" s="9"/>
      <c r="D388" s="29"/>
      <c r="E388" s="22"/>
    </row>
    <row r="389" spans="1:5" ht="15" customHeight="1">
      <c r="A389" s="8"/>
      <c r="B389" s="8"/>
      <c r="C389" s="9"/>
      <c r="D389" s="29"/>
      <c r="E389" s="22"/>
    </row>
    <row r="390" spans="1:5" ht="15" customHeight="1">
      <c r="A390" s="8"/>
      <c r="B390" s="8"/>
      <c r="C390" s="9"/>
      <c r="D390" s="29"/>
      <c r="E390" s="22"/>
    </row>
    <row r="391" spans="1:5" ht="15" customHeight="1">
      <c r="A391" s="8"/>
      <c r="B391" s="8"/>
      <c r="C391" s="9"/>
      <c r="D391" s="29"/>
      <c r="E391" s="22"/>
    </row>
    <row r="392" spans="1:5" ht="15" customHeight="1">
      <c r="A392" s="8"/>
      <c r="B392" s="8"/>
      <c r="C392" s="9"/>
      <c r="D392" s="29"/>
      <c r="E392" s="22"/>
    </row>
    <row r="393" spans="1:5" ht="15" customHeight="1">
      <c r="A393" s="8"/>
      <c r="B393" s="8"/>
      <c r="C393" s="9"/>
      <c r="D393" s="29"/>
      <c r="E393" s="22"/>
    </row>
    <row r="394" spans="1:5">
      <c r="A394" s="18"/>
      <c r="B394" s="18"/>
      <c r="C394" s="19"/>
      <c r="D394" s="35"/>
      <c r="E394" s="36"/>
    </row>
    <row r="395" spans="1:5">
      <c r="A395" s="18"/>
      <c r="B395" s="18"/>
      <c r="C395" s="19"/>
      <c r="D395" s="35"/>
      <c r="E395" s="36"/>
    </row>
    <row r="396" spans="1:5">
      <c r="A396" s="18"/>
      <c r="B396" s="18"/>
      <c r="C396" s="19"/>
      <c r="D396" s="35"/>
      <c r="E396" s="36"/>
    </row>
    <row r="397" spans="1:5">
      <c r="A397" s="18"/>
      <c r="B397" s="18"/>
      <c r="C397" s="19"/>
      <c r="D397" s="35"/>
      <c r="E397" s="36"/>
    </row>
    <row r="398" spans="1:5">
      <c r="A398" s="18"/>
      <c r="B398" s="18"/>
      <c r="C398" s="19"/>
      <c r="D398" s="35"/>
      <c r="E398" s="36"/>
    </row>
    <row r="399" spans="1:5">
      <c r="A399" s="18"/>
      <c r="B399" s="18"/>
      <c r="C399" s="19"/>
      <c r="D399" s="35"/>
      <c r="E399" s="36"/>
    </row>
    <row r="400" spans="1:5">
      <c r="A400" s="18"/>
      <c r="B400" s="18"/>
      <c r="C400" s="19"/>
      <c r="D400" s="35"/>
      <c r="E400" s="36"/>
    </row>
    <row r="401" spans="1:5">
      <c r="A401" s="18"/>
      <c r="B401" s="18"/>
      <c r="C401" s="19"/>
      <c r="D401" s="35"/>
      <c r="E401" s="36"/>
    </row>
    <row r="402" spans="1:5">
      <c r="A402" s="18"/>
      <c r="B402" s="18"/>
      <c r="C402" s="19"/>
      <c r="D402" s="35"/>
      <c r="E402" s="36"/>
    </row>
    <row r="403" spans="1:5">
      <c r="A403" s="18"/>
      <c r="B403" s="18"/>
      <c r="C403" s="19"/>
      <c r="D403" s="35"/>
      <c r="E403" s="36"/>
    </row>
    <row r="404" spans="1:5">
      <c r="A404" s="18"/>
      <c r="B404" s="18"/>
      <c r="C404" s="19"/>
      <c r="D404" s="35"/>
      <c r="E404" s="36"/>
    </row>
    <row r="405" spans="1:5">
      <c r="A405" s="18"/>
      <c r="B405" s="18"/>
      <c r="C405" s="19"/>
      <c r="D405" s="35"/>
      <c r="E405" s="36"/>
    </row>
    <row r="406" spans="1:5">
      <c r="A406" s="18"/>
      <c r="B406" s="18"/>
      <c r="C406" s="19"/>
      <c r="D406" s="35"/>
      <c r="E406" s="36"/>
    </row>
    <row r="407" spans="1:5">
      <c r="A407" s="18"/>
      <c r="B407" s="18"/>
      <c r="C407" s="19"/>
      <c r="D407" s="35"/>
      <c r="E407" s="36"/>
    </row>
    <row r="408" spans="1:5">
      <c r="A408" s="18"/>
      <c r="B408" s="18"/>
      <c r="C408" s="19"/>
      <c r="D408" s="35"/>
      <c r="E408" s="36"/>
    </row>
    <row r="409" spans="1:5">
      <c r="A409" s="18"/>
      <c r="B409" s="18"/>
      <c r="C409" s="19"/>
      <c r="D409" s="35"/>
      <c r="E409" s="36"/>
    </row>
    <row r="410" spans="1:5">
      <c r="A410" s="18"/>
      <c r="B410" s="18"/>
      <c r="C410" s="19"/>
      <c r="D410" s="35"/>
      <c r="E410" s="36"/>
    </row>
    <row r="411" spans="1:5">
      <c r="A411" s="18"/>
      <c r="B411" s="18"/>
      <c r="C411" s="19"/>
      <c r="D411" s="35"/>
      <c r="E411" s="36"/>
    </row>
    <row r="412" spans="1:5">
      <c r="A412" s="18"/>
      <c r="B412" s="18"/>
      <c r="C412" s="19"/>
      <c r="D412" s="35"/>
      <c r="E412" s="36"/>
    </row>
    <row r="413" spans="1:5">
      <c r="A413" s="18"/>
      <c r="B413" s="18"/>
      <c r="C413" s="19"/>
      <c r="D413" s="35"/>
      <c r="E413" s="36"/>
    </row>
    <row r="414" spans="1:5">
      <c r="A414" s="18"/>
      <c r="B414" s="18"/>
      <c r="C414" s="19"/>
      <c r="D414" s="35"/>
      <c r="E414" s="36"/>
    </row>
    <row r="415" spans="1:5">
      <c r="A415" s="18"/>
      <c r="B415" s="18"/>
      <c r="C415" s="19"/>
      <c r="D415" s="35"/>
      <c r="E415" s="36"/>
    </row>
    <row r="416" spans="1:5">
      <c r="A416" s="18"/>
      <c r="B416" s="18"/>
      <c r="C416" s="19"/>
      <c r="D416" s="35"/>
      <c r="E416" s="36"/>
    </row>
    <row r="417" spans="1:5">
      <c r="A417" s="18"/>
      <c r="B417" s="18"/>
      <c r="C417" s="19"/>
      <c r="D417" s="35"/>
      <c r="E417" s="36"/>
    </row>
    <row r="418" spans="1:5">
      <c r="A418" s="18"/>
      <c r="B418" s="18"/>
      <c r="C418" s="19"/>
      <c r="D418" s="35"/>
      <c r="E418" s="36"/>
    </row>
    <row r="419" spans="1:5">
      <c r="A419" s="18"/>
      <c r="B419" s="18"/>
      <c r="C419" s="19"/>
      <c r="D419" s="35"/>
      <c r="E419" s="36"/>
    </row>
    <row r="420" spans="1:5">
      <c r="A420" s="18"/>
      <c r="B420" s="18"/>
      <c r="C420" s="19"/>
      <c r="D420" s="35"/>
      <c r="E420" s="36"/>
    </row>
    <row r="421" spans="1:5">
      <c r="A421" s="18"/>
      <c r="B421" s="18"/>
      <c r="C421" s="19"/>
      <c r="D421" s="35"/>
      <c r="E421" s="36"/>
    </row>
    <row r="422" spans="1:5">
      <c r="A422" s="18"/>
      <c r="B422" s="18"/>
      <c r="C422" s="19"/>
      <c r="D422" s="35"/>
      <c r="E422" s="36"/>
    </row>
    <row r="423" spans="1:5">
      <c r="A423" s="18"/>
      <c r="B423" s="18"/>
      <c r="C423" s="19"/>
      <c r="D423" s="35"/>
      <c r="E423" s="36"/>
    </row>
    <row r="424" spans="1:5">
      <c r="A424" s="18"/>
      <c r="B424" s="18"/>
      <c r="C424" s="19"/>
      <c r="D424" s="35"/>
      <c r="E424" s="36"/>
    </row>
    <row r="425" spans="1:5">
      <c r="A425" s="18"/>
      <c r="B425" s="18"/>
      <c r="C425" s="19"/>
      <c r="D425" s="35"/>
      <c r="E425" s="36"/>
    </row>
    <row r="426" spans="1:5">
      <c r="A426" s="18"/>
      <c r="B426" s="18"/>
      <c r="C426" s="19"/>
      <c r="D426" s="35"/>
      <c r="E426" s="36"/>
    </row>
    <row r="427" spans="1:5">
      <c r="A427" s="18"/>
      <c r="B427" s="18"/>
      <c r="C427" s="19"/>
      <c r="D427" s="35"/>
      <c r="E427" s="36"/>
    </row>
    <row r="428" spans="1:5">
      <c r="A428" s="18"/>
      <c r="B428" s="18"/>
      <c r="C428" s="19"/>
      <c r="D428" s="35"/>
      <c r="E428" s="36"/>
    </row>
    <row r="429" spans="1:5">
      <c r="A429" s="18"/>
      <c r="B429" s="18"/>
      <c r="C429" s="19"/>
      <c r="D429" s="35"/>
      <c r="E429" s="36"/>
    </row>
    <row r="430" spans="1:5">
      <c r="A430" s="18"/>
      <c r="B430" s="18"/>
      <c r="C430" s="19"/>
      <c r="D430" s="35"/>
      <c r="E430" s="36"/>
    </row>
    <row r="431" spans="1:5">
      <c r="A431" s="18"/>
      <c r="B431" s="18"/>
      <c r="C431" s="19"/>
      <c r="D431" s="35"/>
      <c r="E431" s="36"/>
    </row>
    <row r="432" spans="1:5">
      <c r="A432" s="18"/>
      <c r="B432" s="18"/>
      <c r="C432" s="19"/>
      <c r="D432" s="35"/>
      <c r="E432" s="36"/>
    </row>
    <row r="433" spans="1:5">
      <c r="A433" s="18"/>
      <c r="B433" s="18"/>
      <c r="C433" s="19"/>
      <c r="D433" s="35"/>
      <c r="E433" s="36"/>
    </row>
    <row r="434" spans="1:5">
      <c r="A434" s="18"/>
      <c r="B434" s="18"/>
      <c r="C434" s="19"/>
      <c r="D434" s="35"/>
      <c r="E434" s="36"/>
    </row>
    <row r="435" spans="1:5">
      <c r="A435" s="18"/>
      <c r="B435" s="18"/>
      <c r="C435" s="19"/>
      <c r="D435" s="35"/>
      <c r="E435" s="36"/>
    </row>
    <row r="436" spans="1:5">
      <c r="A436" s="18"/>
      <c r="B436" s="18"/>
      <c r="C436" s="19"/>
      <c r="D436" s="35"/>
      <c r="E436" s="36"/>
    </row>
    <row r="437" spans="1:5">
      <c r="A437" s="18"/>
      <c r="B437" s="18"/>
      <c r="C437" s="19"/>
      <c r="D437" s="35"/>
      <c r="E437" s="36"/>
    </row>
    <row r="438" spans="1:5">
      <c r="A438" s="18"/>
      <c r="B438" s="18"/>
      <c r="C438" s="19"/>
      <c r="D438" s="35"/>
      <c r="E438" s="36"/>
    </row>
    <row r="439" spans="1:5">
      <c r="A439" s="18"/>
      <c r="B439" s="18"/>
      <c r="C439" s="19"/>
      <c r="D439" s="35"/>
      <c r="E439" s="36"/>
    </row>
    <row r="440" spans="1:5">
      <c r="A440" s="18"/>
      <c r="B440" s="18"/>
      <c r="C440" s="19"/>
      <c r="D440" s="35"/>
      <c r="E440" s="36"/>
    </row>
    <row r="441" spans="1:5">
      <c r="A441" s="18"/>
      <c r="B441" s="18"/>
      <c r="C441" s="19"/>
      <c r="D441" s="35"/>
      <c r="E441" s="36"/>
    </row>
    <row r="442" spans="1:5">
      <c r="A442" s="18"/>
      <c r="B442" s="18"/>
      <c r="C442" s="19"/>
      <c r="D442" s="35"/>
      <c r="E442" s="36"/>
    </row>
    <row r="443" spans="1:5">
      <c r="A443" s="18"/>
      <c r="B443" s="18"/>
      <c r="C443" s="19"/>
      <c r="D443" s="35"/>
      <c r="E443" s="36"/>
    </row>
    <row r="444" spans="1:5">
      <c r="A444" s="18"/>
      <c r="B444" s="18"/>
      <c r="C444" s="19"/>
      <c r="D444" s="35"/>
      <c r="E444" s="36"/>
    </row>
    <row r="445" spans="1:5">
      <c r="A445" s="18"/>
      <c r="B445" s="18"/>
      <c r="C445" s="19"/>
      <c r="D445" s="35"/>
      <c r="E445" s="36"/>
    </row>
    <row r="446" spans="1:5">
      <c r="A446" s="18"/>
      <c r="B446" s="18"/>
      <c r="C446" s="19"/>
      <c r="D446" s="35"/>
      <c r="E446" s="36"/>
    </row>
    <row r="447" spans="1:5">
      <c r="A447" s="18"/>
      <c r="B447" s="18"/>
      <c r="C447" s="19"/>
      <c r="D447" s="35"/>
      <c r="E447" s="36"/>
    </row>
    <row r="448" spans="1:5">
      <c r="A448" s="18"/>
      <c r="B448" s="18"/>
      <c r="C448" s="19"/>
      <c r="D448" s="35"/>
      <c r="E448" s="36"/>
    </row>
    <row r="449" spans="1:5">
      <c r="A449" s="18"/>
      <c r="B449" s="18"/>
      <c r="C449" s="19"/>
      <c r="D449" s="35"/>
      <c r="E449" s="36"/>
    </row>
    <row r="450" spans="1:5">
      <c r="A450" s="18"/>
      <c r="B450" s="18"/>
      <c r="C450" s="19"/>
      <c r="D450" s="35"/>
      <c r="E450" s="36"/>
    </row>
    <row r="451" spans="1:5">
      <c r="A451" s="18"/>
      <c r="B451" s="18"/>
      <c r="C451" s="19"/>
      <c r="D451" s="35"/>
      <c r="E451" s="36"/>
    </row>
    <row r="452" spans="1:5">
      <c r="A452" s="18"/>
      <c r="B452" s="18"/>
      <c r="C452" s="19"/>
      <c r="D452" s="35"/>
      <c r="E452" s="36"/>
    </row>
    <row r="453" spans="1:5">
      <c r="A453" s="18"/>
      <c r="B453" s="18"/>
      <c r="C453" s="19"/>
      <c r="D453" s="35"/>
      <c r="E453" s="36"/>
    </row>
    <row r="454" spans="1:5">
      <c r="A454" s="18"/>
      <c r="B454" s="18"/>
      <c r="C454" s="19"/>
      <c r="D454" s="35"/>
      <c r="E454" s="36"/>
    </row>
    <row r="455" spans="1:5">
      <c r="A455" s="18"/>
      <c r="B455" s="18"/>
      <c r="C455" s="19"/>
      <c r="D455" s="35"/>
      <c r="E455" s="36"/>
    </row>
    <row r="456" spans="1:5">
      <c r="A456" s="18"/>
      <c r="B456" s="18"/>
      <c r="C456" s="19"/>
      <c r="D456" s="35"/>
      <c r="E456" s="36"/>
    </row>
    <row r="457" spans="1:5">
      <c r="A457" s="18"/>
      <c r="B457" s="18"/>
      <c r="C457" s="19"/>
      <c r="D457" s="35"/>
      <c r="E457" s="36"/>
    </row>
    <row r="458" spans="1:5">
      <c r="A458" s="18"/>
      <c r="B458" s="18"/>
      <c r="C458" s="19"/>
      <c r="D458" s="35"/>
      <c r="E458" s="36"/>
    </row>
    <row r="459" spans="1:5">
      <c r="A459" s="18"/>
      <c r="B459" s="18"/>
      <c r="C459" s="19"/>
      <c r="D459" s="35"/>
      <c r="E459" s="36"/>
    </row>
    <row r="460" spans="1:5">
      <c r="A460" s="18"/>
      <c r="B460" s="18"/>
      <c r="C460" s="19"/>
      <c r="D460" s="35"/>
      <c r="E460" s="36"/>
    </row>
    <row r="461" spans="1:5">
      <c r="A461" s="18"/>
      <c r="B461" s="18"/>
      <c r="C461" s="19"/>
      <c r="D461" s="35"/>
      <c r="E461" s="36"/>
    </row>
    <row r="462" spans="1:5">
      <c r="A462" s="18"/>
      <c r="B462" s="18"/>
      <c r="C462" s="19"/>
      <c r="D462" s="35"/>
      <c r="E462" s="36"/>
    </row>
    <row r="463" spans="1:5">
      <c r="A463" s="18"/>
      <c r="B463" s="18"/>
      <c r="C463" s="19"/>
      <c r="D463" s="35"/>
      <c r="E463" s="36"/>
    </row>
    <row r="464" spans="1:5">
      <c r="A464" s="18"/>
      <c r="B464" s="18"/>
      <c r="C464" s="19"/>
      <c r="D464" s="35"/>
      <c r="E464" s="36"/>
    </row>
    <row r="465" spans="1:5">
      <c r="A465" s="18"/>
      <c r="B465" s="18"/>
      <c r="C465" s="19"/>
      <c r="D465" s="35"/>
      <c r="E465" s="36"/>
    </row>
    <row r="466" spans="1:5">
      <c r="A466" s="18"/>
      <c r="B466" s="18"/>
      <c r="C466" s="19"/>
      <c r="D466" s="35"/>
      <c r="E466" s="36"/>
    </row>
    <row r="467" spans="1:5">
      <c r="A467" s="18"/>
      <c r="B467" s="18"/>
      <c r="C467" s="19"/>
      <c r="D467" s="35"/>
      <c r="E467" s="36"/>
    </row>
    <row r="468" spans="1:5">
      <c r="A468" s="18"/>
      <c r="B468" s="18"/>
      <c r="C468" s="19"/>
      <c r="D468" s="35"/>
      <c r="E468" s="36"/>
    </row>
    <row r="469" spans="1:5">
      <c r="A469" s="18"/>
      <c r="B469" s="18"/>
      <c r="C469" s="19"/>
      <c r="D469" s="35"/>
      <c r="E469" s="36"/>
    </row>
    <row r="470" spans="1:5">
      <c r="A470" s="18"/>
      <c r="B470" s="18"/>
      <c r="C470" s="19"/>
      <c r="D470" s="35"/>
      <c r="E470" s="36"/>
    </row>
    <row r="471" spans="1:5">
      <c r="A471" s="18"/>
      <c r="B471" s="18"/>
      <c r="C471" s="19"/>
      <c r="D471" s="35"/>
      <c r="E471" s="36"/>
    </row>
    <row r="472" spans="1:5">
      <c r="A472" s="18"/>
      <c r="B472" s="18"/>
      <c r="C472" s="19"/>
      <c r="D472" s="35"/>
      <c r="E472" s="36"/>
    </row>
    <row r="473" spans="1:5">
      <c r="A473" s="18"/>
      <c r="B473" s="18"/>
      <c r="C473" s="19"/>
      <c r="D473" s="35"/>
      <c r="E473" s="36"/>
    </row>
    <row r="474" spans="1:5">
      <c r="A474" s="18"/>
      <c r="B474" s="18"/>
      <c r="C474" s="19"/>
      <c r="D474" s="35"/>
      <c r="E474" s="36"/>
    </row>
    <row r="475" spans="1:5">
      <c r="A475" s="18"/>
      <c r="B475" s="18"/>
      <c r="C475" s="19"/>
      <c r="D475" s="35"/>
      <c r="E475" s="36"/>
    </row>
    <row r="476" spans="1:5">
      <c r="A476" s="18"/>
      <c r="B476" s="18"/>
      <c r="C476" s="19"/>
      <c r="D476" s="35"/>
      <c r="E476" s="36"/>
    </row>
    <row r="477" spans="1:5">
      <c r="A477" s="18"/>
      <c r="B477" s="18"/>
      <c r="C477" s="19"/>
      <c r="D477" s="35"/>
      <c r="E477" s="36"/>
    </row>
    <row r="478" spans="1:5">
      <c r="A478" s="18"/>
      <c r="B478" s="18"/>
      <c r="C478" s="19"/>
      <c r="D478" s="35"/>
      <c r="E478" s="36"/>
    </row>
    <row r="479" spans="1:5">
      <c r="A479" s="18"/>
      <c r="B479" s="18"/>
      <c r="C479" s="19"/>
      <c r="D479" s="35"/>
      <c r="E479" s="36"/>
    </row>
    <row r="480" spans="1:5">
      <c r="A480" s="18"/>
      <c r="B480" s="18"/>
      <c r="C480" s="19"/>
      <c r="D480" s="35"/>
      <c r="E480" s="36"/>
    </row>
    <row r="481" spans="1:5">
      <c r="A481" s="18"/>
      <c r="B481" s="18"/>
      <c r="C481" s="19"/>
      <c r="D481" s="35"/>
      <c r="E481" s="36"/>
    </row>
    <row r="482" spans="1:5">
      <c r="A482" s="18"/>
      <c r="B482" s="18"/>
      <c r="C482" s="19"/>
      <c r="D482" s="35"/>
      <c r="E482" s="36"/>
    </row>
    <row r="483" spans="1:5">
      <c r="A483" s="18"/>
      <c r="B483" s="18"/>
      <c r="C483" s="19"/>
      <c r="D483" s="35"/>
      <c r="E483" s="36"/>
    </row>
    <row r="484" spans="1:5">
      <c r="A484" s="18"/>
      <c r="B484" s="18"/>
      <c r="C484" s="19"/>
      <c r="D484" s="35"/>
      <c r="E484" s="36"/>
    </row>
    <row r="485" spans="1:5">
      <c r="A485" s="18"/>
      <c r="B485" s="18"/>
      <c r="C485" s="19"/>
      <c r="D485" s="35"/>
      <c r="E485" s="36"/>
    </row>
    <row r="486" spans="1:5">
      <c r="A486" s="18"/>
      <c r="B486" s="18"/>
      <c r="C486" s="19"/>
      <c r="D486" s="35"/>
      <c r="E486" s="36"/>
    </row>
    <row r="487" spans="1:5">
      <c r="A487" s="18"/>
      <c r="B487" s="18"/>
      <c r="C487" s="19"/>
      <c r="D487" s="35"/>
      <c r="E487" s="36"/>
    </row>
    <row r="488" spans="1:5">
      <c r="A488" s="18"/>
      <c r="B488" s="18"/>
      <c r="C488" s="19"/>
      <c r="D488" s="35"/>
      <c r="E488" s="36"/>
    </row>
    <row r="489" spans="1:5">
      <c r="A489" s="18"/>
      <c r="B489" s="18"/>
      <c r="C489" s="19"/>
      <c r="D489" s="35"/>
      <c r="E489" s="36"/>
    </row>
    <row r="490" spans="1:5">
      <c r="A490" s="18"/>
      <c r="B490" s="18"/>
      <c r="C490" s="19"/>
      <c r="D490" s="35"/>
      <c r="E490" s="36"/>
    </row>
    <row r="491" spans="1:5">
      <c r="A491" s="18"/>
      <c r="B491" s="18"/>
      <c r="C491" s="19"/>
      <c r="D491" s="35"/>
      <c r="E491" s="36"/>
    </row>
    <row r="492" spans="1:5">
      <c r="A492" s="18"/>
      <c r="B492" s="18"/>
      <c r="C492" s="19"/>
      <c r="D492" s="35"/>
      <c r="E492" s="36"/>
    </row>
    <row r="493" spans="1:5">
      <c r="A493" s="18"/>
      <c r="B493" s="18"/>
      <c r="C493" s="19"/>
      <c r="D493" s="35"/>
      <c r="E493" s="36"/>
    </row>
    <row r="494" spans="1:5">
      <c r="A494" s="18"/>
      <c r="B494" s="18"/>
      <c r="C494" s="19"/>
      <c r="D494" s="35"/>
      <c r="E494" s="36"/>
    </row>
    <row r="495" spans="1:5">
      <c r="A495" s="18"/>
      <c r="B495" s="18"/>
      <c r="C495" s="19"/>
      <c r="D495" s="35"/>
      <c r="E495" s="36"/>
    </row>
    <row r="496" spans="1:5">
      <c r="A496" s="18"/>
      <c r="B496" s="18"/>
      <c r="C496" s="19"/>
      <c r="D496" s="30"/>
      <c r="E496" s="31"/>
    </row>
    <row r="497" spans="1:5">
      <c r="A497" s="18"/>
      <c r="B497" s="18"/>
      <c r="C497" s="19"/>
      <c r="D497" s="30"/>
      <c r="E497" s="31"/>
    </row>
    <row r="498" spans="1:5">
      <c r="A498" s="18"/>
      <c r="B498" s="18"/>
      <c r="C498" s="19"/>
      <c r="D498" s="30"/>
      <c r="E498" s="31"/>
    </row>
    <row r="499" spans="1:5">
      <c r="A499" s="18"/>
      <c r="B499" s="18"/>
      <c r="C499" s="19"/>
      <c r="D499" s="30"/>
      <c r="E499" s="31"/>
    </row>
    <row r="500" spans="1:5">
      <c r="A500" s="18"/>
      <c r="B500" s="18"/>
      <c r="C500" s="19"/>
      <c r="D500" s="30"/>
      <c r="E500" s="31"/>
    </row>
    <row r="501" spans="1:5">
      <c r="A501" s="18"/>
      <c r="B501" s="18"/>
      <c r="C501" s="19"/>
      <c r="D501" s="30"/>
      <c r="E501" s="31"/>
    </row>
    <row r="502" spans="1:5">
      <c r="A502" s="18"/>
      <c r="B502" s="18"/>
      <c r="C502" s="19"/>
      <c r="D502" s="30"/>
      <c r="E502" s="31"/>
    </row>
    <row r="503" spans="1:5">
      <c r="A503" s="18"/>
      <c r="B503" s="18"/>
      <c r="C503" s="19"/>
      <c r="D503" s="30"/>
      <c r="E503" s="31"/>
    </row>
    <row r="504" spans="1:5">
      <c r="A504" s="18"/>
      <c r="B504" s="18"/>
      <c r="C504" s="19"/>
      <c r="D504" s="30"/>
      <c r="E504" s="31"/>
    </row>
    <row r="505" spans="1:5">
      <c r="A505" s="18"/>
      <c r="B505" s="18"/>
      <c r="C505" s="19"/>
      <c r="D505" s="30"/>
      <c r="E505" s="31"/>
    </row>
    <row r="506" spans="1:5">
      <c r="A506" s="18"/>
      <c r="B506" s="18"/>
      <c r="C506" s="19"/>
      <c r="D506" s="30"/>
      <c r="E506" s="31"/>
    </row>
    <row r="507" spans="1:5">
      <c r="A507" s="18"/>
      <c r="B507" s="18"/>
      <c r="C507" s="19"/>
      <c r="D507" s="30"/>
      <c r="E507" s="31"/>
    </row>
    <row r="508" spans="1:5">
      <c r="A508" s="18"/>
      <c r="B508" s="18"/>
      <c r="C508" s="19"/>
      <c r="D508" s="30"/>
      <c r="E508" s="31"/>
    </row>
    <row r="509" spans="1:5">
      <c r="A509" s="18"/>
      <c r="B509" s="18"/>
      <c r="C509" s="19"/>
      <c r="D509" s="30"/>
      <c r="E509" s="31"/>
    </row>
    <row r="510" spans="1:5">
      <c r="A510" s="18"/>
      <c r="B510" s="18"/>
      <c r="C510" s="19"/>
      <c r="D510" s="30"/>
      <c r="E510" s="31"/>
    </row>
    <row r="511" spans="1:5">
      <c r="A511" s="18"/>
      <c r="B511" s="18"/>
      <c r="C511" s="19"/>
      <c r="D511" s="30"/>
      <c r="E511" s="31"/>
    </row>
    <row r="512" spans="1:5">
      <c r="A512" s="18"/>
      <c r="B512" s="18"/>
      <c r="C512" s="19"/>
      <c r="D512" s="30"/>
      <c r="E512" s="31"/>
    </row>
    <row r="513" spans="1:5">
      <c r="A513" s="18"/>
      <c r="B513" s="18"/>
      <c r="C513" s="19"/>
      <c r="D513" s="30"/>
      <c r="E513" s="31"/>
    </row>
    <row r="514" spans="1:5">
      <c r="A514" s="18"/>
      <c r="B514" s="18"/>
      <c r="C514" s="19"/>
      <c r="D514" s="30"/>
      <c r="E514" s="31"/>
    </row>
    <row r="515" spans="1:5">
      <c r="A515" s="18"/>
      <c r="B515" s="18"/>
      <c r="C515" s="19"/>
      <c r="D515" s="30"/>
      <c r="E515" s="31"/>
    </row>
    <row r="516" spans="1:5">
      <c r="A516" s="18"/>
      <c r="B516" s="18"/>
      <c r="C516" s="19"/>
      <c r="D516" s="30"/>
      <c r="E516" s="31"/>
    </row>
    <row r="517" spans="1:5">
      <c r="A517" s="18"/>
      <c r="B517" s="18"/>
      <c r="C517" s="19"/>
      <c r="D517" s="30"/>
      <c r="E517" s="31"/>
    </row>
    <row r="518" spans="1:5">
      <c r="A518" s="18"/>
      <c r="B518" s="18"/>
      <c r="C518" s="19"/>
      <c r="D518" s="30"/>
      <c r="E518" s="31"/>
    </row>
    <row r="519" spans="1:5">
      <c r="A519" s="18"/>
      <c r="B519" s="18"/>
      <c r="C519" s="19"/>
      <c r="D519" s="30"/>
      <c r="E519" s="31"/>
    </row>
    <row r="520" spans="1:5">
      <c r="A520" s="18"/>
      <c r="B520" s="18"/>
      <c r="C520" s="19"/>
      <c r="D520" s="30"/>
      <c r="E520" s="31"/>
    </row>
    <row r="521" spans="1:5">
      <c r="A521" s="18"/>
      <c r="B521" s="18"/>
      <c r="C521" s="19"/>
      <c r="D521" s="30"/>
      <c r="E521" s="31"/>
    </row>
    <row r="522" spans="1:5">
      <c r="A522" s="18"/>
      <c r="B522" s="18"/>
      <c r="C522" s="19"/>
      <c r="D522" s="30"/>
      <c r="E522" s="31"/>
    </row>
    <row r="523" spans="1:5">
      <c r="A523" s="18"/>
      <c r="B523" s="18"/>
      <c r="C523" s="19"/>
      <c r="D523" s="30"/>
      <c r="E523" s="31"/>
    </row>
    <row r="524" spans="1:5">
      <c r="A524" s="18"/>
      <c r="B524" s="18"/>
      <c r="C524" s="19"/>
      <c r="D524" s="30"/>
      <c r="E524" s="31"/>
    </row>
    <row r="525" spans="1:5">
      <c r="A525" s="18"/>
      <c r="B525" s="18"/>
      <c r="C525" s="19"/>
      <c r="D525" s="30"/>
      <c r="E525" s="31"/>
    </row>
    <row r="526" spans="1:5">
      <c r="A526" s="18"/>
      <c r="B526" s="18"/>
      <c r="C526" s="19"/>
      <c r="D526" s="30"/>
      <c r="E526" s="31"/>
    </row>
    <row r="527" spans="1:5">
      <c r="A527" s="18"/>
      <c r="B527" s="18"/>
      <c r="C527" s="19"/>
      <c r="D527" s="30"/>
      <c r="E527" s="31"/>
    </row>
    <row r="528" spans="1:5">
      <c r="A528" s="18"/>
      <c r="B528" s="18"/>
      <c r="C528" s="19"/>
      <c r="D528" s="30"/>
      <c r="E528" s="31"/>
    </row>
    <row r="529" spans="1:5">
      <c r="A529" s="18"/>
      <c r="B529" s="18"/>
      <c r="C529" s="19"/>
      <c r="D529" s="30"/>
      <c r="E529" s="31"/>
    </row>
    <row r="530" spans="1:5">
      <c r="A530" s="18"/>
      <c r="B530" s="18"/>
      <c r="C530" s="19"/>
      <c r="D530" s="30"/>
      <c r="E530" s="31"/>
    </row>
    <row r="531" spans="1:5">
      <c r="A531" s="18"/>
      <c r="B531" s="18"/>
      <c r="C531" s="19"/>
      <c r="D531" s="30"/>
      <c r="E531" s="31"/>
    </row>
    <row r="532" spans="1:5">
      <c r="A532" s="18"/>
      <c r="B532" s="18"/>
      <c r="C532" s="19"/>
      <c r="D532" s="30"/>
      <c r="E532" s="31"/>
    </row>
    <row r="533" spans="1:5">
      <c r="A533" s="18"/>
      <c r="B533" s="18"/>
      <c r="C533" s="19"/>
      <c r="D533" s="30"/>
      <c r="E533" s="31"/>
    </row>
    <row r="534" spans="1:5">
      <c r="A534" s="18"/>
      <c r="B534" s="18"/>
      <c r="C534" s="19"/>
      <c r="D534" s="30"/>
      <c r="E534" s="31"/>
    </row>
    <row r="535" spans="1:5">
      <c r="A535" s="18"/>
      <c r="B535" s="18"/>
      <c r="C535" s="19"/>
      <c r="D535" s="30"/>
      <c r="E535" s="31"/>
    </row>
    <row r="536" spans="1:5">
      <c r="A536" s="18"/>
      <c r="B536" s="18"/>
      <c r="C536" s="19"/>
      <c r="D536" s="30"/>
      <c r="E536" s="31"/>
    </row>
    <row r="537" spans="1:5">
      <c r="A537" s="18"/>
      <c r="B537" s="18"/>
      <c r="C537" s="19"/>
      <c r="D537" s="30"/>
      <c r="E537" s="31"/>
    </row>
    <row r="538" spans="1:5">
      <c r="A538" s="18"/>
      <c r="B538" s="18"/>
      <c r="C538" s="19"/>
      <c r="D538" s="30"/>
      <c r="E538" s="31"/>
    </row>
    <row r="539" spans="1:5">
      <c r="A539" s="18"/>
      <c r="B539" s="18"/>
      <c r="C539" s="19"/>
      <c r="D539" s="30"/>
      <c r="E539" s="31"/>
    </row>
    <row r="540" spans="1:5">
      <c r="A540" s="18"/>
      <c r="B540" s="18"/>
      <c r="C540" s="19"/>
      <c r="D540" s="30"/>
      <c r="E540" s="31"/>
    </row>
    <row r="541" spans="1:5">
      <c r="A541" s="18"/>
      <c r="B541" s="18"/>
      <c r="C541" s="19"/>
      <c r="D541" s="30"/>
      <c r="E541" s="31"/>
    </row>
    <row r="542" spans="1:5">
      <c r="A542" s="18"/>
      <c r="B542" s="18"/>
      <c r="C542" s="19"/>
      <c r="D542" s="30"/>
      <c r="E542" s="31"/>
    </row>
    <row r="543" spans="1:5">
      <c r="A543" s="18"/>
      <c r="B543" s="18"/>
      <c r="C543" s="19"/>
      <c r="D543" s="30"/>
      <c r="E543" s="31"/>
    </row>
    <row r="544" spans="1:5">
      <c r="A544" s="18"/>
      <c r="B544" s="18"/>
      <c r="C544" s="19"/>
      <c r="D544" s="30"/>
      <c r="E544" s="31"/>
    </row>
    <row r="545" spans="1:5">
      <c r="A545" s="18"/>
      <c r="B545" s="18"/>
      <c r="C545" s="19"/>
      <c r="D545" s="30"/>
      <c r="E545" s="31"/>
    </row>
    <row r="546" spans="1:5">
      <c r="A546" s="18"/>
      <c r="B546" s="18"/>
      <c r="C546" s="19"/>
      <c r="D546" s="30"/>
      <c r="E546" s="31"/>
    </row>
    <row r="547" spans="1:5">
      <c r="A547" s="18"/>
      <c r="B547" s="18"/>
      <c r="C547" s="19"/>
      <c r="D547" s="30"/>
      <c r="E547" s="31"/>
    </row>
    <row r="548" spans="1:5">
      <c r="A548" s="18"/>
      <c r="B548" s="18"/>
      <c r="C548" s="19"/>
      <c r="D548" s="30"/>
      <c r="E548" s="31"/>
    </row>
    <row r="549" spans="1:5">
      <c r="A549" s="18"/>
      <c r="B549" s="18"/>
      <c r="C549" s="19"/>
      <c r="D549" s="30"/>
      <c r="E549" s="31"/>
    </row>
    <row r="550" spans="1:5">
      <c r="A550" s="18"/>
      <c r="B550" s="18"/>
      <c r="C550" s="19"/>
      <c r="D550" s="30"/>
      <c r="E550" s="31"/>
    </row>
    <row r="551" spans="1:5">
      <c r="A551" s="18"/>
      <c r="B551" s="18"/>
      <c r="C551" s="19"/>
      <c r="D551" s="30"/>
      <c r="E551" s="31"/>
    </row>
    <row r="552" spans="1:5">
      <c r="A552" s="18"/>
      <c r="B552" s="18"/>
      <c r="C552" s="19"/>
      <c r="D552" s="30"/>
      <c r="E552" s="31"/>
    </row>
    <row r="553" spans="1:5">
      <c r="A553" s="18"/>
      <c r="B553" s="18"/>
      <c r="C553" s="19"/>
      <c r="D553" s="30"/>
      <c r="E553" s="31"/>
    </row>
    <row r="554" spans="1:5">
      <c r="A554" s="18"/>
      <c r="B554" s="18"/>
      <c r="C554" s="19"/>
      <c r="D554" s="30"/>
      <c r="E554" s="31"/>
    </row>
    <row r="555" spans="1:5">
      <c r="A555" s="18"/>
      <c r="B555" s="18"/>
      <c r="C555" s="19"/>
      <c r="D555" s="30"/>
      <c r="E555" s="31"/>
    </row>
    <row r="556" spans="1:5">
      <c r="A556" s="18"/>
      <c r="B556" s="18"/>
      <c r="C556" s="19"/>
      <c r="D556" s="30"/>
      <c r="E556" s="31"/>
    </row>
    <row r="557" spans="1:5">
      <c r="A557" s="18"/>
      <c r="B557" s="18"/>
      <c r="C557" s="19"/>
      <c r="D557" s="30"/>
      <c r="E557" s="31"/>
    </row>
    <row r="558" spans="1:5">
      <c r="A558" s="18"/>
      <c r="B558" s="18"/>
      <c r="C558" s="19"/>
      <c r="D558" s="30"/>
      <c r="E558" s="31"/>
    </row>
    <row r="559" spans="1:5">
      <c r="A559" s="18"/>
      <c r="B559" s="18"/>
      <c r="C559" s="19"/>
      <c r="D559" s="30"/>
      <c r="E559" s="31"/>
    </row>
    <row r="560" spans="1:5">
      <c r="A560" s="18"/>
      <c r="B560" s="18"/>
      <c r="C560" s="19"/>
      <c r="D560" s="30"/>
      <c r="E560" s="31"/>
    </row>
    <row r="561" spans="1:5">
      <c r="A561" s="18"/>
      <c r="B561" s="18"/>
      <c r="C561" s="19"/>
      <c r="D561" s="30"/>
      <c r="E561" s="31"/>
    </row>
    <row r="562" spans="1:5">
      <c r="A562" s="18"/>
      <c r="B562" s="18"/>
      <c r="C562" s="19"/>
      <c r="D562" s="30"/>
      <c r="E562" s="31"/>
    </row>
    <row r="563" spans="1:5">
      <c r="A563" s="18"/>
      <c r="B563" s="18"/>
      <c r="C563" s="19"/>
      <c r="D563" s="30"/>
      <c r="E563" s="31"/>
    </row>
    <row r="564" spans="1:5">
      <c r="A564" s="18"/>
      <c r="B564" s="18"/>
      <c r="C564" s="19"/>
      <c r="D564" s="30"/>
      <c r="E564" s="31"/>
    </row>
    <row r="565" spans="1:5">
      <c r="A565" s="18"/>
      <c r="B565" s="18"/>
      <c r="C565" s="19"/>
      <c r="D565" s="30"/>
      <c r="E565" s="31"/>
    </row>
    <row r="566" spans="1:5">
      <c r="A566" s="18"/>
      <c r="B566" s="18"/>
      <c r="C566" s="19"/>
      <c r="D566" s="30"/>
      <c r="E566" s="31"/>
    </row>
    <row r="567" spans="1:5">
      <c r="A567" s="18"/>
      <c r="B567" s="18"/>
      <c r="C567" s="19"/>
      <c r="D567" s="30"/>
      <c r="E567" s="31"/>
    </row>
    <row r="568" spans="1:5">
      <c r="A568" s="18"/>
      <c r="B568" s="18"/>
      <c r="C568" s="19"/>
      <c r="D568" s="30"/>
      <c r="E568" s="31"/>
    </row>
    <row r="569" spans="1:5">
      <c r="A569" s="18"/>
      <c r="B569" s="18"/>
      <c r="C569" s="19"/>
      <c r="D569" s="30"/>
      <c r="E569" s="31"/>
    </row>
    <row r="570" spans="1:5">
      <c r="A570" s="18"/>
      <c r="B570" s="18"/>
      <c r="C570" s="19"/>
      <c r="D570" s="30"/>
      <c r="E570" s="31"/>
    </row>
    <row r="571" spans="1:5">
      <c r="A571" s="18"/>
      <c r="B571" s="18"/>
      <c r="C571" s="19"/>
      <c r="D571" s="30"/>
      <c r="E571" s="31"/>
    </row>
    <row r="572" spans="1:5">
      <c r="A572" s="18"/>
      <c r="B572" s="18"/>
      <c r="C572" s="19"/>
      <c r="D572" s="30"/>
      <c r="E572" s="31"/>
    </row>
    <row r="573" spans="1:5">
      <c r="A573" s="18"/>
      <c r="B573" s="18"/>
      <c r="C573" s="19"/>
      <c r="D573" s="30"/>
      <c r="E573" s="31"/>
    </row>
    <row r="574" spans="1:5">
      <c r="A574" s="18"/>
      <c r="B574" s="18"/>
      <c r="C574" s="19"/>
      <c r="D574" s="30"/>
      <c r="E574" s="31"/>
    </row>
    <row r="575" spans="1:5">
      <c r="A575" s="18"/>
      <c r="B575" s="18"/>
      <c r="C575" s="19"/>
      <c r="D575" s="30"/>
      <c r="E575" s="31"/>
    </row>
    <row r="576" spans="1:5">
      <c r="A576" s="18"/>
      <c r="B576" s="18"/>
      <c r="C576" s="19"/>
      <c r="D576" s="30"/>
      <c r="E576" s="31"/>
    </row>
    <row r="577" spans="1:5">
      <c r="A577" s="18"/>
      <c r="B577" s="18"/>
      <c r="C577" s="19"/>
      <c r="D577" s="30"/>
      <c r="E577" s="31"/>
    </row>
    <row r="578" spans="1:5">
      <c r="A578" s="18"/>
      <c r="B578" s="18"/>
      <c r="C578" s="19"/>
      <c r="D578" s="30"/>
      <c r="E578" s="31"/>
    </row>
    <row r="579" spans="1:5">
      <c r="A579" s="18"/>
      <c r="B579" s="18"/>
      <c r="C579" s="19"/>
      <c r="D579" s="30"/>
      <c r="E579" s="31"/>
    </row>
    <row r="580" spans="1:5">
      <c r="A580" s="18"/>
      <c r="B580" s="18"/>
      <c r="C580" s="19"/>
      <c r="D580" s="30"/>
      <c r="E580" s="31"/>
    </row>
    <row r="581" spans="1:5">
      <c r="A581" s="18"/>
      <c r="B581" s="18"/>
      <c r="C581" s="19"/>
      <c r="D581" s="30"/>
      <c r="E581" s="31"/>
    </row>
    <row r="582" spans="1:5">
      <c r="A582" s="18"/>
      <c r="B582" s="18"/>
      <c r="C582" s="19"/>
      <c r="D582" s="30"/>
      <c r="E582" s="31"/>
    </row>
    <row r="583" spans="1:5">
      <c r="A583" s="18"/>
      <c r="B583" s="18"/>
      <c r="C583" s="19"/>
      <c r="D583" s="30"/>
      <c r="E583" s="31"/>
    </row>
    <row r="584" spans="1:5">
      <c r="A584" s="18"/>
      <c r="B584" s="18"/>
      <c r="C584" s="19"/>
      <c r="D584" s="30"/>
      <c r="E584" s="31"/>
    </row>
    <row r="585" spans="1:5">
      <c r="A585" s="18"/>
      <c r="B585" s="18"/>
      <c r="C585" s="19"/>
      <c r="D585" s="30"/>
      <c r="E585" s="31"/>
    </row>
    <row r="586" spans="1:5">
      <c r="A586" s="18"/>
      <c r="B586" s="18"/>
      <c r="C586" s="19"/>
      <c r="D586" s="30"/>
      <c r="E586" s="31"/>
    </row>
    <row r="587" spans="1:5">
      <c r="A587" s="18"/>
      <c r="B587" s="18"/>
      <c r="C587" s="19"/>
      <c r="D587" s="30"/>
      <c r="E587" s="31"/>
    </row>
    <row r="588" spans="1:5">
      <c r="A588" s="18"/>
      <c r="B588" s="18"/>
      <c r="C588" s="19"/>
      <c r="D588" s="30"/>
      <c r="E588" s="31"/>
    </row>
    <row r="589" spans="1:5">
      <c r="A589" s="18"/>
      <c r="B589" s="18"/>
      <c r="C589" s="19"/>
      <c r="D589" s="30"/>
      <c r="E589" s="31"/>
    </row>
    <row r="590" spans="1:5">
      <c r="A590" s="18"/>
      <c r="B590" s="18"/>
      <c r="C590" s="19"/>
      <c r="D590" s="30"/>
      <c r="E590" s="31"/>
    </row>
    <row r="591" spans="1:5">
      <c r="A591" s="18"/>
      <c r="B591" s="18"/>
      <c r="C591" s="19"/>
      <c r="D591" s="30"/>
      <c r="E591" s="31"/>
    </row>
    <row r="592" spans="1:5">
      <c r="E592" s="17"/>
    </row>
    <row r="593" spans="5:5">
      <c r="E593" s="17"/>
    </row>
    <row r="594" spans="5:5">
      <c r="E594" s="17"/>
    </row>
    <row r="595" spans="5:5">
      <c r="E595" s="17"/>
    </row>
    <row r="596" spans="5:5">
      <c r="E596" s="17"/>
    </row>
    <row r="597" spans="5:5">
      <c r="E597" s="17"/>
    </row>
    <row r="598" spans="5:5">
      <c r="E598" s="17"/>
    </row>
    <row r="599" spans="5:5">
      <c r="E599" s="17"/>
    </row>
    <row r="600" spans="5:5">
      <c r="E600" s="17"/>
    </row>
    <row r="601" spans="5:5">
      <c r="E601" s="17"/>
    </row>
    <row r="602" spans="5:5">
      <c r="E602" s="17"/>
    </row>
    <row r="603" spans="5:5">
      <c r="E603" s="17"/>
    </row>
    <row r="604" spans="5:5">
      <c r="E604" s="17"/>
    </row>
    <row r="605" spans="5:5">
      <c r="E605" s="17"/>
    </row>
    <row r="606" spans="5:5">
      <c r="E606" s="17"/>
    </row>
    <row r="607" spans="5:5">
      <c r="E607" s="17"/>
    </row>
    <row r="608" spans="5:5">
      <c r="E608" s="17"/>
    </row>
    <row r="609" spans="5:5">
      <c r="E609" s="17"/>
    </row>
    <row r="610" spans="5:5">
      <c r="E610" s="17"/>
    </row>
    <row r="611" spans="5:5">
      <c r="E611" s="17"/>
    </row>
    <row r="612" spans="5:5">
      <c r="E612" s="17"/>
    </row>
    <row r="613" spans="5:5">
      <c r="E613" s="17"/>
    </row>
    <row r="614" spans="5:5">
      <c r="E614" s="17"/>
    </row>
    <row r="615" spans="5:5">
      <c r="E615" s="17"/>
    </row>
    <row r="616" spans="5:5">
      <c r="E616" s="17"/>
    </row>
    <row r="617" spans="5:5">
      <c r="E617" s="17"/>
    </row>
    <row r="618" spans="5:5">
      <c r="E618" s="17"/>
    </row>
    <row r="619" spans="5:5">
      <c r="E619" s="17"/>
    </row>
    <row r="620" spans="5:5">
      <c r="E620" s="17"/>
    </row>
    <row r="621" spans="5:5">
      <c r="E621" s="17"/>
    </row>
    <row r="622" spans="5:5">
      <c r="E622" s="17"/>
    </row>
    <row r="623" spans="5:5">
      <c r="E623" s="17"/>
    </row>
    <row r="624" spans="5:5">
      <c r="E624" s="17"/>
    </row>
    <row r="625" spans="5:5">
      <c r="E625" s="17"/>
    </row>
    <row r="626" spans="5:5">
      <c r="E626" s="17"/>
    </row>
    <row r="627" spans="5:5">
      <c r="E627" s="17"/>
    </row>
    <row r="628" spans="5:5">
      <c r="E628" s="17"/>
    </row>
    <row r="629" spans="5:5">
      <c r="E629" s="17"/>
    </row>
    <row r="630" spans="5:5">
      <c r="E630" s="17"/>
    </row>
    <row r="631" spans="5:5">
      <c r="E631" s="17"/>
    </row>
    <row r="632" spans="5:5">
      <c r="E632" s="17"/>
    </row>
    <row r="633" spans="5:5">
      <c r="E633" s="17"/>
    </row>
    <row r="634" spans="5:5">
      <c r="E634" s="17"/>
    </row>
    <row r="635" spans="5:5">
      <c r="E635" s="17"/>
    </row>
    <row r="636" spans="5:5">
      <c r="E636" s="17"/>
    </row>
    <row r="637" spans="5:5">
      <c r="E637" s="17"/>
    </row>
    <row r="638" spans="5:5">
      <c r="E638" s="17"/>
    </row>
    <row r="639" spans="5:5">
      <c r="E639" s="17"/>
    </row>
    <row r="640" spans="5:5">
      <c r="E640" s="17"/>
    </row>
    <row r="641" spans="5:5">
      <c r="E641" s="17"/>
    </row>
    <row r="642" spans="5:5">
      <c r="E642" s="17"/>
    </row>
    <row r="643" spans="5:5">
      <c r="E643" s="17"/>
    </row>
    <row r="644" spans="5:5">
      <c r="E644" s="17"/>
    </row>
    <row r="645" spans="5:5">
      <c r="E645" s="17"/>
    </row>
    <row r="646" spans="5:5">
      <c r="E646" s="17"/>
    </row>
    <row r="647" spans="5:5">
      <c r="E647" s="17"/>
    </row>
    <row r="648" spans="5:5">
      <c r="E648" s="17"/>
    </row>
    <row r="649" spans="5:5">
      <c r="E649" s="17"/>
    </row>
    <row r="650" spans="5:5">
      <c r="E650" s="17"/>
    </row>
    <row r="651" spans="5:5">
      <c r="E651" s="17"/>
    </row>
    <row r="652" spans="5:5">
      <c r="E652" s="17"/>
    </row>
    <row r="653" spans="5:5">
      <c r="E653" s="17"/>
    </row>
    <row r="654" spans="5:5">
      <c r="E654" s="17"/>
    </row>
    <row r="655" spans="5:5">
      <c r="E655" s="17"/>
    </row>
    <row r="656" spans="5:5">
      <c r="E656" s="17"/>
    </row>
    <row r="657" spans="5:5">
      <c r="E657" s="17"/>
    </row>
    <row r="658" spans="5:5">
      <c r="E658" s="17"/>
    </row>
    <row r="659" spans="5:5">
      <c r="E659" s="17"/>
    </row>
    <row r="660" spans="5:5">
      <c r="E660" s="17"/>
    </row>
    <row r="661" spans="5:5">
      <c r="E661" s="17"/>
    </row>
    <row r="662" spans="5:5">
      <c r="E662" s="17"/>
    </row>
    <row r="663" spans="5:5">
      <c r="E663" s="17"/>
    </row>
    <row r="664" spans="5:5">
      <c r="E664" s="17"/>
    </row>
    <row r="665" spans="5:5">
      <c r="E665" s="17"/>
    </row>
    <row r="666" spans="5:5">
      <c r="E666" s="17"/>
    </row>
    <row r="667" spans="5:5">
      <c r="E667" s="17"/>
    </row>
    <row r="668" spans="5:5">
      <c r="E668" s="17"/>
    </row>
    <row r="669" spans="5:5">
      <c r="E669" s="17"/>
    </row>
    <row r="670" spans="5:5">
      <c r="E670" s="17"/>
    </row>
    <row r="671" spans="5:5">
      <c r="E671" s="17"/>
    </row>
    <row r="672" spans="5:5">
      <c r="E672" s="17"/>
    </row>
    <row r="673" spans="5:5">
      <c r="E673" s="17"/>
    </row>
    <row r="674" spans="5:5">
      <c r="E674" s="17"/>
    </row>
    <row r="675" spans="5:5">
      <c r="E675" s="17"/>
    </row>
    <row r="676" spans="5:5">
      <c r="E676" s="17"/>
    </row>
    <row r="677" spans="5:5">
      <c r="E677" s="17"/>
    </row>
    <row r="678" spans="5:5">
      <c r="E678" s="17"/>
    </row>
    <row r="679" spans="5:5">
      <c r="E679" s="17"/>
    </row>
    <row r="680" spans="5:5">
      <c r="E680" s="17"/>
    </row>
    <row r="681" spans="5:5">
      <c r="E681" s="17"/>
    </row>
    <row r="682" spans="5:5">
      <c r="E682" s="17"/>
    </row>
    <row r="683" spans="5:5">
      <c r="E683" s="17"/>
    </row>
    <row r="684" spans="5:5">
      <c r="E684" s="17"/>
    </row>
    <row r="685" spans="5:5">
      <c r="E685" s="17"/>
    </row>
    <row r="686" spans="5:5">
      <c r="E686" s="17"/>
    </row>
    <row r="687" spans="5:5">
      <c r="E687" s="17"/>
    </row>
    <row r="688" spans="5:5">
      <c r="E688" s="17"/>
    </row>
    <row r="689" spans="5:5">
      <c r="E689" s="17"/>
    </row>
    <row r="690" spans="5:5">
      <c r="E690" s="17"/>
    </row>
    <row r="691" spans="5:5">
      <c r="E691" s="17"/>
    </row>
    <row r="692" spans="5:5">
      <c r="E692" s="17"/>
    </row>
    <row r="693" spans="5:5">
      <c r="E693" s="17"/>
    </row>
    <row r="694" spans="5:5">
      <c r="E694" s="17"/>
    </row>
    <row r="695" spans="5:5">
      <c r="E695" s="17"/>
    </row>
    <row r="696" spans="5:5">
      <c r="E696" s="17"/>
    </row>
    <row r="697" spans="5:5">
      <c r="E697" s="17"/>
    </row>
    <row r="698" spans="5:5">
      <c r="E698" s="17"/>
    </row>
    <row r="699" spans="5:5">
      <c r="E699" s="17"/>
    </row>
    <row r="700" spans="5:5">
      <c r="E700" s="17"/>
    </row>
    <row r="701" spans="5:5">
      <c r="E701" s="17"/>
    </row>
    <row r="702" spans="5:5">
      <c r="E702" s="17"/>
    </row>
    <row r="703" spans="5:5">
      <c r="E703" s="17"/>
    </row>
    <row r="704" spans="5:5">
      <c r="E704" s="17"/>
    </row>
    <row r="705" spans="5:5">
      <c r="E705" s="17"/>
    </row>
    <row r="706" spans="5:5">
      <c r="E706" s="17"/>
    </row>
    <row r="707" spans="5:5">
      <c r="E707" s="17"/>
    </row>
    <row r="708" spans="5:5">
      <c r="E708" s="17"/>
    </row>
    <row r="709" spans="5:5">
      <c r="E709" s="17"/>
    </row>
    <row r="710" spans="5:5">
      <c r="E710" s="17"/>
    </row>
    <row r="711" spans="5:5">
      <c r="E711" s="17"/>
    </row>
    <row r="712" spans="5:5">
      <c r="E712" s="17"/>
    </row>
    <row r="713" spans="5:5">
      <c r="E713" s="17"/>
    </row>
    <row r="714" spans="5:5">
      <c r="E714" s="17"/>
    </row>
    <row r="715" spans="5:5">
      <c r="E715" s="17"/>
    </row>
    <row r="716" spans="5:5">
      <c r="E716" s="17"/>
    </row>
    <row r="717" spans="5:5">
      <c r="E717" s="17"/>
    </row>
    <row r="718" spans="5:5">
      <c r="E718" s="17"/>
    </row>
    <row r="719" spans="5:5">
      <c r="E719" s="17"/>
    </row>
    <row r="720" spans="5:5">
      <c r="E720" s="17"/>
    </row>
    <row r="721" spans="5:5">
      <c r="E721" s="17"/>
    </row>
    <row r="722" spans="5:5">
      <c r="E722" s="17"/>
    </row>
    <row r="723" spans="5:5">
      <c r="E723" s="17"/>
    </row>
    <row r="724" spans="5:5">
      <c r="E724" s="17"/>
    </row>
    <row r="725" spans="5:5">
      <c r="E725" s="17"/>
    </row>
    <row r="726" spans="5:5">
      <c r="E726" s="17"/>
    </row>
    <row r="727" spans="5:5">
      <c r="E727" s="17"/>
    </row>
    <row r="728" spans="5:5">
      <c r="E728" s="17"/>
    </row>
    <row r="729" spans="5:5">
      <c r="E729" s="17"/>
    </row>
    <row r="730" spans="5:5">
      <c r="E730" s="17"/>
    </row>
    <row r="731" spans="5:5">
      <c r="E731" s="17"/>
    </row>
    <row r="732" spans="5:5">
      <c r="E732" s="17"/>
    </row>
    <row r="733" spans="5:5">
      <c r="E733" s="17"/>
    </row>
    <row r="734" spans="5:5">
      <c r="E734" s="17"/>
    </row>
    <row r="735" spans="5:5">
      <c r="E735" s="17"/>
    </row>
    <row r="736" spans="5:5">
      <c r="E736" s="17"/>
    </row>
    <row r="737" spans="5:5">
      <c r="E737" s="17"/>
    </row>
    <row r="738" spans="5:5">
      <c r="E738" s="17"/>
    </row>
    <row r="739" spans="5:5">
      <c r="E739" s="17"/>
    </row>
    <row r="740" spans="5:5">
      <c r="E740" s="17"/>
    </row>
    <row r="741" spans="5:5">
      <c r="E741" s="17"/>
    </row>
    <row r="742" spans="5:5">
      <c r="E742" s="17"/>
    </row>
    <row r="743" spans="5:5">
      <c r="E743" s="17"/>
    </row>
    <row r="744" spans="5:5">
      <c r="E744" s="17"/>
    </row>
    <row r="745" spans="5:5">
      <c r="E745" s="17"/>
    </row>
    <row r="746" spans="5:5">
      <c r="E746" s="17"/>
    </row>
    <row r="747" spans="5:5">
      <c r="E747" s="17"/>
    </row>
    <row r="748" spans="5:5">
      <c r="E748" s="17"/>
    </row>
    <row r="749" spans="5:5">
      <c r="E749" s="17"/>
    </row>
    <row r="750" spans="5:5">
      <c r="E750" s="17"/>
    </row>
    <row r="751" spans="5:5">
      <c r="E751" s="17"/>
    </row>
    <row r="752" spans="5:5">
      <c r="E752" s="17"/>
    </row>
    <row r="753" spans="5:5">
      <c r="E753" s="17"/>
    </row>
    <row r="754" spans="5:5">
      <c r="E754" s="17"/>
    </row>
    <row r="755" spans="5:5">
      <c r="E755" s="17"/>
    </row>
    <row r="756" spans="5:5">
      <c r="E756" s="17"/>
    </row>
    <row r="757" spans="5:5">
      <c r="E757" s="17"/>
    </row>
    <row r="758" spans="5:5">
      <c r="E758" s="17"/>
    </row>
    <row r="759" spans="5:5">
      <c r="E759" s="17"/>
    </row>
    <row r="760" spans="5:5">
      <c r="E760" s="17"/>
    </row>
    <row r="761" spans="5:5">
      <c r="E761" s="17"/>
    </row>
    <row r="762" spans="5:5">
      <c r="E762" s="17"/>
    </row>
    <row r="763" spans="5:5">
      <c r="E763" s="17"/>
    </row>
    <row r="764" spans="5:5">
      <c r="E764" s="17"/>
    </row>
    <row r="765" spans="5:5">
      <c r="E765" s="17"/>
    </row>
    <row r="766" spans="5:5">
      <c r="E766" s="17"/>
    </row>
    <row r="767" spans="5:5">
      <c r="E767" s="17"/>
    </row>
    <row r="768" spans="5:5">
      <c r="E768" s="17"/>
    </row>
    <row r="769" spans="5:5">
      <c r="E769" s="17"/>
    </row>
    <row r="770" spans="5:5">
      <c r="E770" s="17"/>
    </row>
    <row r="771" spans="5:5">
      <c r="E771" s="17"/>
    </row>
    <row r="772" spans="5:5">
      <c r="E772" s="17"/>
    </row>
    <row r="773" spans="5:5">
      <c r="E773" s="17"/>
    </row>
    <row r="774" spans="5:5">
      <c r="E774" s="17"/>
    </row>
    <row r="775" spans="5:5">
      <c r="E775" s="17"/>
    </row>
    <row r="776" spans="5:5">
      <c r="E776" s="17"/>
    </row>
    <row r="777" spans="5:5">
      <c r="E777" s="17"/>
    </row>
    <row r="778" spans="5:5">
      <c r="E778" s="17"/>
    </row>
    <row r="779" spans="5:5">
      <c r="E779" s="17"/>
    </row>
    <row r="780" spans="5:5">
      <c r="E780" s="17"/>
    </row>
    <row r="781" spans="5:5">
      <c r="E781" s="17"/>
    </row>
    <row r="782" spans="5:5">
      <c r="E782" s="17"/>
    </row>
    <row r="783" spans="5:5">
      <c r="E783" s="17"/>
    </row>
    <row r="784" spans="5:5">
      <c r="E784" s="17"/>
    </row>
    <row r="785" spans="5:5">
      <c r="E785" s="17"/>
    </row>
    <row r="786" spans="5:5">
      <c r="E786" s="17"/>
    </row>
    <row r="787" spans="5:5">
      <c r="E787" s="17"/>
    </row>
    <row r="788" spans="5:5">
      <c r="E788" s="17"/>
    </row>
    <row r="789" spans="5:5">
      <c r="E789" s="17"/>
    </row>
    <row r="790" spans="5:5">
      <c r="E790" s="17"/>
    </row>
    <row r="791" spans="5:5">
      <c r="E791" s="17"/>
    </row>
    <row r="792" spans="5:5">
      <c r="E792" s="17"/>
    </row>
    <row r="793" spans="5:5">
      <c r="E793" s="17"/>
    </row>
    <row r="794" spans="5:5">
      <c r="E794" s="17"/>
    </row>
    <row r="795" spans="5:5">
      <c r="E795" s="17"/>
    </row>
    <row r="796" spans="5:5">
      <c r="E796" s="17"/>
    </row>
    <row r="797" spans="5:5">
      <c r="E797" s="17"/>
    </row>
    <row r="798" spans="5:5">
      <c r="E798" s="17"/>
    </row>
    <row r="799" spans="5:5">
      <c r="E799" s="17"/>
    </row>
    <row r="800" spans="5:5">
      <c r="E800" s="17"/>
    </row>
    <row r="801" spans="5:5">
      <c r="E801" s="17"/>
    </row>
    <row r="802" spans="5:5">
      <c r="E802" s="17"/>
    </row>
    <row r="803" spans="5:5">
      <c r="E803" s="17"/>
    </row>
    <row r="804" spans="5:5">
      <c r="E804" s="17"/>
    </row>
    <row r="805" spans="5:5">
      <c r="E805" s="17"/>
    </row>
    <row r="806" spans="5:5">
      <c r="E806" s="17"/>
    </row>
    <row r="807" spans="5:5">
      <c r="E807" s="17"/>
    </row>
    <row r="808" spans="5:5">
      <c r="E808" s="17"/>
    </row>
    <row r="809" spans="5:5">
      <c r="E809" s="17"/>
    </row>
    <row r="810" spans="5:5">
      <c r="E810" s="17"/>
    </row>
    <row r="811" spans="5:5">
      <c r="E811" s="17"/>
    </row>
    <row r="812" spans="5:5">
      <c r="E812" s="17"/>
    </row>
    <row r="813" spans="5:5">
      <c r="E813" s="17"/>
    </row>
    <row r="814" spans="5:5">
      <c r="E814" s="17"/>
    </row>
    <row r="815" spans="5:5">
      <c r="E815" s="17"/>
    </row>
    <row r="816" spans="5:5">
      <c r="E816" s="17"/>
    </row>
    <row r="817" spans="5:5">
      <c r="E817" s="17"/>
    </row>
    <row r="818" spans="5:5">
      <c r="E818" s="17"/>
    </row>
    <row r="819" spans="5:5">
      <c r="E819" s="17"/>
    </row>
    <row r="820" spans="5:5">
      <c r="E820" s="17"/>
    </row>
    <row r="821" spans="5:5">
      <c r="E821" s="17"/>
    </row>
    <row r="822" spans="5:5">
      <c r="E822" s="17"/>
    </row>
    <row r="823" spans="5:5">
      <c r="E823" s="17"/>
    </row>
    <row r="824" spans="5:5">
      <c r="E824" s="17"/>
    </row>
    <row r="825" spans="5:5">
      <c r="E825" s="17"/>
    </row>
    <row r="826" spans="5:5">
      <c r="E826" s="17"/>
    </row>
    <row r="827" spans="5:5">
      <c r="E827" s="17"/>
    </row>
    <row r="828" spans="5:5">
      <c r="E828" s="17"/>
    </row>
    <row r="829" spans="5:5">
      <c r="E829" s="17"/>
    </row>
    <row r="830" spans="5:5">
      <c r="E830" s="17"/>
    </row>
    <row r="831" spans="5:5">
      <c r="E831" s="17"/>
    </row>
    <row r="832" spans="5:5">
      <c r="E832" s="17"/>
    </row>
    <row r="833" spans="5:5">
      <c r="E833" s="17"/>
    </row>
    <row r="834" spans="5:5">
      <c r="E834" s="17"/>
    </row>
    <row r="835" spans="5:5">
      <c r="E835" s="17"/>
    </row>
    <row r="836" spans="5:5">
      <c r="E836" s="17"/>
    </row>
    <row r="837" spans="5:5">
      <c r="E837" s="17"/>
    </row>
    <row r="838" spans="5:5">
      <c r="E838" s="17"/>
    </row>
    <row r="839" spans="5:5">
      <c r="E839" s="17"/>
    </row>
    <row r="840" spans="5:5">
      <c r="E840" s="17"/>
    </row>
    <row r="841" spans="5:5">
      <c r="E841" s="17"/>
    </row>
    <row r="842" spans="5:5">
      <c r="E842" s="17"/>
    </row>
    <row r="843" spans="5:5">
      <c r="E843" s="17"/>
    </row>
    <row r="844" spans="5:5">
      <c r="E844" s="17"/>
    </row>
    <row r="845" spans="5:5">
      <c r="E845" s="17"/>
    </row>
    <row r="846" spans="5:5">
      <c r="E846" s="17"/>
    </row>
    <row r="847" spans="5:5">
      <c r="E847" s="17"/>
    </row>
    <row r="848" spans="5:5">
      <c r="E848" s="17"/>
    </row>
    <row r="849" spans="5:5">
      <c r="E849" s="17"/>
    </row>
    <row r="850" spans="5:5">
      <c r="E850" s="17"/>
    </row>
    <row r="851" spans="5:5">
      <c r="E851" s="17"/>
    </row>
    <row r="852" spans="5:5">
      <c r="E852" s="17"/>
    </row>
    <row r="853" spans="5:5">
      <c r="E853" s="17"/>
    </row>
    <row r="854" spans="5:5">
      <c r="E854" s="17"/>
    </row>
    <row r="855" spans="5:5">
      <c r="E855" s="17"/>
    </row>
    <row r="856" spans="5:5">
      <c r="E856" s="17"/>
    </row>
    <row r="857" spans="5:5">
      <c r="E857" s="17"/>
    </row>
    <row r="858" spans="5:5">
      <c r="E858" s="17"/>
    </row>
    <row r="859" spans="5:5">
      <c r="E859" s="17"/>
    </row>
    <row r="860" spans="5:5">
      <c r="E860" s="17"/>
    </row>
    <row r="861" spans="5:5">
      <c r="E861" s="17"/>
    </row>
    <row r="862" spans="5:5">
      <c r="E862" s="17"/>
    </row>
    <row r="863" spans="5:5">
      <c r="E863" s="17"/>
    </row>
    <row r="864" spans="5:5">
      <c r="E864" s="17"/>
    </row>
    <row r="865" spans="5:5">
      <c r="E865" s="17"/>
    </row>
    <row r="866" spans="5:5">
      <c r="E866" s="17"/>
    </row>
    <row r="867" spans="5:5">
      <c r="E867" s="17"/>
    </row>
    <row r="868" spans="5:5">
      <c r="E868" s="17"/>
    </row>
    <row r="869" spans="5:5">
      <c r="E869" s="17"/>
    </row>
    <row r="870" spans="5:5">
      <c r="E870" s="17"/>
    </row>
    <row r="871" spans="5:5">
      <c r="E871" s="17"/>
    </row>
    <row r="872" spans="5:5">
      <c r="E872" s="17"/>
    </row>
    <row r="873" spans="5:5">
      <c r="E873" s="17"/>
    </row>
    <row r="874" spans="5:5">
      <c r="E874" s="17"/>
    </row>
    <row r="875" spans="5:5">
      <c r="E875" s="17"/>
    </row>
    <row r="876" spans="5:5">
      <c r="E876" s="17"/>
    </row>
    <row r="877" spans="5:5">
      <c r="E877" s="17"/>
    </row>
    <row r="878" spans="5:5">
      <c r="E878" s="17"/>
    </row>
    <row r="879" spans="5:5">
      <c r="E879" s="17"/>
    </row>
    <row r="880" spans="5:5">
      <c r="E880" s="17"/>
    </row>
    <row r="881" spans="5:5">
      <c r="E881" s="17"/>
    </row>
    <row r="882" spans="5:5">
      <c r="E882" s="17"/>
    </row>
    <row r="883" spans="5:5">
      <c r="E883" s="17"/>
    </row>
    <row r="884" spans="5:5">
      <c r="E884" s="17"/>
    </row>
    <row r="885" spans="5:5">
      <c r="E885" s="17"/>
    </row>
    <row r="886" spans="5:5">
      <c r="E886" s="17"/>
    </row>
    <row r="887" spans="5:5">
      <c r="E887" s="17"/>
    </row>
    <row r="888" spans="5:5">
      <c r="E888" s="17"/>
    </row>
    <row r="889" spans="5:5">
      <c r="E889" s="17"/>
    </row>
    <row r="890" spans="5:5">
      <c r="E890" s="17"/>
    </row>
    <row r="891" spans="5:5">
      <c r="E891" s="17"/>
    </row>
    <row r="892" spans="5:5">
      <c r="E892" s="17"/>
    </row>
    <row r="893" spans="5:5">
      <c r="E893" s="17"/>
    </row>
    <row r="894" spans="5:5">
      <c r="E894" s="17"/>
    </row>
    <row r="895" spans="5:5">
      <c r="E895" s="17"/>
    </row>
    <row r="896" spans="5:5">
      <c r="E896" s="17"/>
    </row>
    <row r="897" spans="5:5">
      <c r="E897" s="17"/>
    </row>
    <row r="898" spans="5:5">
      <c r="E898" s="17"/>
    </row>
    <row r="899" spans="5:5">
      <c r="E899" s="17"/>
    </row>
    <row r="900" spans="5:5">
      <c r="E900" s="17"/>
    </row>
    <row r="901" spans="5:5">
      <c r="E901" s="17"/>
    </row>
    <row r="902" spans="5:5">
      <c r="E902" s="17"/>
    </row>
    <row r="903" spans="5:5">
      <c r="E903" s="17"/>
    </row>
    <row r="904" spans="5:5">
      <c r="E904" s="17"/>
    </row>
    <row r="905" spans="5:5">
      <c r="E905" s="17"/>
    </row>
    <row r="906" spans="5:5">
      <c r="E906" s="17"/>
    </row>
    <row r="907" spans="5:5">
      <c r="E907" s="17"/>
    </row>
    <row r="908" spans="5:5">
      <c r="E908" s="17"/>
    </row>
    <row r="909" spans="5:5">
      <c r="E909" s="17"/>
    </row>
    <row r="910" spans="5:5">
      <c r="E910" s="17"/>
    </row>
    <row r="911" spans="5:5">
      <c r="E911" s="17"/>
    </row>
    <row r="912" spans="5:5">
      <c r="E912" s="17"/>
    </row>
    <row r="913" spans="5:5">
      <c r="E913" s="17"/>
    </row>
    <row r="914" spans="5:5">
      <c r="E914" s="17"/>
    </row>
    <row r="915" spans="5:5">
      <c r="E915" s="17"/>
    </row>
    <row r="916" spans="5:5">
      <c r="E916" s="17"/>
    </row>
    <row r="917" spans="5:5">
      <c r="E917" s="17"/>
    </row>
    <row r="918" spans="5:5">
      <c r="E918" s="17"/>
    </row>
    <row r="919" spans="5:5">
      <c r="E919" s="17"/>
    </row>
    <row r="920" spans="5:5">
      <c r="E920" s="17"/>
    </row>
    <row r="921" spans="5:5">
      <c r="E921" s="17"/>
    </row>
    <row r="922" spans="5:5">
      <c r="E922" s="17"/>
    </row>
    <row r="923" spans="5:5">
      <c r="E923" s="17"/>
    </row>
    <row r="924" spans="5:5">
      <c r="E924" s="17"/>
    </row>
    <row r="925" spans="5:5">
      <c r="E925" s="17"/>
    </row>
    <row r="926" spans="5:5">
      <c r="E926" s="17"/>
    </row>
    <row r="927" spans="5:5">
      <c r="E927" s="17"/>
    </row>
    <row r="928" spans="5:5">
      <c r="E928" s="17"/>
    </row>
    <row r="929" spans="5:5">
      <c r="E929" s="17"/>
    </row>
    <row r="930" spans="5:5">
      <c r="E930" s="17"/>
    </row>
    <row r="931" spans="5:5">
      <c r="E931" s="17"/>
    </row>
    <row r="932" spans="5:5">
      <c r="E932" s="17"/>
    </row>
    <row r="933" spans="5:5">
      <c r="E933" s="17"/>
    </row>
    <row r="934" spans="5:5">
      <c r="E934" s="17"/>
    </row>
    <row r="935" spans="5:5">
      <c r="E935" s="17"/>
    </row>
    <row r="936" spans="5:5">
      <c r="E936" s="17"/>
    </row>
    <row r="937" spans="5:5">
      <c r="E937" s="17"/>
    </row>
    <row r="938" spans="5:5">
      <c r="E938" s="17"/>
    </row>
    <row r="939" spans="5:5">
      <c r="E939" s="17"/>
    </row>
    <row r="940" spans="5:5">
      <c r="E940" s="17"/>
    </row>
    <row r="941" spans="5:5">
      <c r="E941" s="17"/>
    </row>
    <row r="942" spans="5:5">
      <c r="E942" s="17"/>
    </row>
    <row r="943" spans="5:5">
      <c r="E943" s="17"/>
    </row>
    <row r="944" spans="5:5">
      <c r="E944" s="17"/>
    </row>
    <row r="945" spans="5:5">
      <c r="E945" s="17"/>
    </row>
    <row r="946" spans="5:5">
      <c r="E946" s="17"/>
    </row>
    <row r="947" spans="5:5">
      <c r="E947" s="17"/>
    </row>
    <row r="948" spans="5:5">
      <c r="E948" s="17"/>
    </row>
    <row r="949" spans="5:5">
      <c r="E949" s="17"/>
    </row>
    <row r="950" spans="5:5">
      <c r="E950" s="17"/>
    </row>
    <row r="951" spans="5:5">
      <c r="E951" s="17"/>
    </row>
    <row r="952" spans="5:5">
      <c r="E952" s="17"/>
    </row>
    <row r="953" spans="5:5">
      <c r="E953" s="17"/>
    </row>
    <row r="954" spans="5:5">
      <c r="E954" s="17"/>
    </row>
    <row r="955" spans="5:5">
      <c r="E955" s="17"/>
    </row>
    <row r="956" spans="5:5">
      <c r="E956" s="17"/>
    </row>
    <row r="957" spans="5:5">
      <c r="E957" s="17"/>
    </row>
    <row r="958" spans="5:5">
      <c r="E958" s="17"/>
    </row>
    <row r="959" spans="5:5">
      <c r="E959" s="17"/>
    </row>
    <row r="960" spans="5:5">
      <c r="E960" s="17"/>
    </row>
    <row r="961" spans="5:5">
      <c r="E961" s="17"/>
    </row>
    <row r="962" spans="5:5">
      <c r="E962" s="17"/>
    </row>
    <row r="963" spans="5:5">
      <c r="E963" s="17"/>
    </row>
    <row r="964" spans="5:5">
      <c r="E964" s="17"/>
    </row>
    <row r="965" spans="5:5">
      <c r="E965" s="17"/>
    </row>
    <row r="966" spans="5:5">
      <c r="E966" s="17"/>
    </row>
    <row r="967" spans="5:5">
      <c r="E967" s="17"/>
    </row>
    <row r="968" spans="5:5">
      <c r="E968" s="17"/>
    </row>
    <row r="969" spans="5:5">
      <c r="E969" s="17"/>
    </row>
    <row r="970" spans="5:5">
      <c r="E970" s="17"/>
    </row>
    <row r="971" spans="5:5">
      <c r="E971" s="17"/>
    </row>
    <row r="972" spans="5:5">
      <c r="E972" s="17"/>
    </row>
    <row r="973" spans="5:5">
      <c r="E973" s="17"/>
    </row>
    <row r="974" spans="5:5">
      <c r="E974" s="17"/>
    </row>
    <row r="975" spans="5:5">
      <c r="E975" s="17"/>
    </row>
    <row r="976" spans="5:5">
      <c r="E976" s="17"/>
    </row>
    <row r="977" spans="5:5">
      <c r="E977" s="17"/>
    </row>
    <row r="978" spans="5:5">
      <c r="E978" s="17"/>
    </row>
    <row r="979" spans="5:5">
      <c r="E979" s="17"/>
    </row>
    <row r="980" spans="5:5">
      <c r="E980" s="17"/>
    </row>
    <row r="981" spans="5:5">
      <c r="E981" s="17"/>
    </row>
    <row r="982" spans="5:5">
      <c r="E982" s="17"/>
    </row>
    <row r="983" spans="5:5">
      <c r="E983" s="17"/>
    </row>
    <row r="984" spans="5:5">
      <c r="E984" s="17"/>
    </row>
    <row r="985" spans="5:5">
      <c r="E985" s="17"/>
    </row>
    <row r="986" spans="5:5">
      <c r="E986" s="17"/>
    </row>
    <row r="987" spans="5:5">
      <c r="E987" s="17"/>
    </row>
    <row r="988" spans="5:5">
      <c r="E988" s="17"/>
    </row>
    <row r="989" spans="5:5">
      <c r="E989" s="17"/>
    </row>
    <row r="990" spans="5:5">
      <c r="E990" s="17"/>
    </row>
    <row r="991" spans="5:5">
      <c r="E991" s="17"/>
    </row>
    <row r="992" spans="5:5">
      <c r="E992" s="17"/>
    </row>
    <row r="993" spans="5:5">
      <c r="E993" s="17"/>
    </row>
    <row r="994" spans="5:5">
      <c r="E994" s="17"/>
    </row>
    <row r="995" spans="5:5">
      <c r="E995" s="17"/>
    </row>
    <row r="996" spans="5:5">
      <c r="E996" s="17"/>
    </row>
    <row r="997" spans="5:5">
      <c r="E997" s="17"/>
    </row>
    <row r="998" spans="5:5">
      <c r="E998" s="17"/>
    </row>
    <row r="999" spans="5:5">
      <c r="E999" s="17"/>
    </row>
    <row r="1000" spans="5:5">
      <c r="E1000" s="17"/>
    </row>
    <row r="1001" spans="5:5">
      <c r="E1001" s="17"/>
    </row>
    <row r="1002" spans="5:5">
      <c r="E1002" s="17"/>
    </row>
    <row r="1003" spans="5:5">
      <c r="E1003" s="17"/>
    </row>
    <row r="1004" spans="5:5">
      <c r="E1004" s="17"/>
    </row>
    <row r="1005" spans="5:5">
      <c r="E1005" s="17"/>
    </row>
    <row r="1006" spans="5:5">
      <c r="E1006" s="17"/>
    </row>
    <row r="1007" spans="5:5">
      <c r="E1007" s="17"/>
    </row>
    <row r="1008" spans="5:5">
      <c r="E1008" s="17"/>
    </row>
    <row r="1009" spans="5:5">
      <c r="E1009" s="17"/>
    </row>
    <row r="1010" spans="5:5">
      <c r="E1010" s="17"/>
    </row>
    <row r="1011" spans="5:5">
      <c r="E1011" s="17"/>
    </row>
    <row r="1012" spans="5:5">
      <c r="E1012" s="17"/>
    </row>
    <row r="1013" spans="5:5">
      <c r="E1013" s="17"/>
    </row>
    <row r="1014" spans="5:5">
      <c r="E1014" s="17"/>
    </row>
    <row r="1015" spans="5:5">
      <c r="E1015" s="17"/>
    </row>
    <row r="1016" spans="5:5">
      <c r="E1016" s="17"/>
    </row>
    <row r="1017" spans="5:5">
      <c r="E1017" s="17"/>
    </row>
    <row r="1018" spans="5:5">
      <c r="E1018" s="17"/>
    </row>
    <row r="1019" spans="5:5">
      <c r="E1019" s="17"/>
    </row>
    <row r="1020" spans="5:5">
      <c r="E1020" s="17"/>
    </row>
    <row r="1021" spans="5:5">
      <c r="E1021" s="17"/>
    </row>
    <row r="1022" spans="5:5">
      <c r="E1022" s="17"/>
    </row>
    <row r="1023" spans="5:5">
      <c r="E1023" s="17"/>
    </row>
    <row r="1024" spans="5:5">
      <c r="E1024" s="17"/>
    </row>
    <row r="1025" spans="5:5">
      <c r="E1025" s="17"/>
    </row>
    <row r="1026" spans="5:5">
      <c r="E1026" s="17"/>
    </row>
    <row r="1027" spans="5:5">
      <c r="E1027" s="17"/>
    </row>
    <row r="1028" spans="5:5">
      <c r="E1028" s="17"/>
    </row>
    <row r="1029" spans="5:5">
      <c r="E1029" s="17"/>
    </row>
    <row r="1030" spans="5:5">
      <c r="E1030" s="17"/>
    </row>
    <row r="1031" spans="5:5">
      <c r="E1031" s="17"/>
    </row>
    <row r="1032" spans="5:5">
      <c r="E1032" s="17"/>
    </row>
    <row r="1033" spans="5:5">
      <c r="E1033" s="17"/>
    </row>
    <row r="1034" spans="5:5">
      <c r="E1034" s="17"/>
    </row>
    <row r="1035" spans="5:5">
      <c r="E1035" s="17"/>
    </row>
    <row r="1036" spans="5:5">
      <c r="E1036" s="17"/>
    </row>
    <row r="1037" spans="5:5">
      <c r="E1037" s="17"/>
    </row>
    <row r="1038" spans="5:5">
      <c r="E1038" s="17"/>
    </row>
    <row r="1039" spans="5:5">
      <c r="E1039" s="17"/>
    </row>
    <row r="1040" spans="5:5">
      <c r="E1040" s="17"/>
    </row>
    <row r="1041" spans="5:5">
      <c r="E1041" s="17"/>
    </row>
    <row r="1042" spans="5:5">
      <c r="E1042" s="17"/>
    </row>
    <row r="1043" spans="5:5">
      <c r="E1043" s="17"/>
    </row>
    <row r="1044" spans="5:5">
      <c r="E1044" s="17"/>
    </row>
    <row r="1045" spans="5:5">
      <c r="E1045" s="17"/>
    </row>
    <row r="1046" spans="5:5">
      <c r="E1046" s="17"/>
    </row>
    <row r="1047" spans="5:5">
      <c r="E1047" s="17"/>
    </row>
    <row r="1048" spans="5:5">
      <c r="E1048" s="17"/>
    </row>
    <row r="1049" spans="5:5">
      <c r="E1049" s="17"/>
    </row>
    <row r="1050" spans="5:5">
      <c r="E1050" s="17"/>
    </row>
    <row r="1051" spans="5:5">
      <c r="E1051" s="17"/>
    </row>
    <row r="1052" spans="5:5">
      <c r="E1052" s="17"/>
    </row>
    <row r="1053" spans="5:5">
      <c r="E1053" s="17"/>
    </row>
    <row r="1054" spans="5:5">
      <c r="E1054" s="17"/>
    </row>
    <row r="1055" spans="5:5">
      <c r="E1055" s="17"/>
    </row>
    <row r="1056" spans="5:5">
      <c r="E1056" s="17"/>
    </row>
    <row r="1057" spans="5:5">
      <c r="E1057" s="17"/>
    </row>
    <row r="1058" spans="5:5">
      <c r="E1058" s="17"/>
    </row>
    <row r="1059" spans="5:5">
      <c r="E1059" s="17"/>
    </row>
    <row r="1060" spans="5:5">
      <c r="E1060" s="17"/>
    </row>
    <row r="1061" spans="5:5">
      <c r="E1061" s="17"/>
    </row>
    <row r="1062" spans="5:5">
      <c r="E1062" s="17"/>
    </row>
    <row r="1063" spans="5:5">
      <c r="E1063" s="17"/>
    </row>
    <row r="1064" spans="5:5">
      <c r="E1064" s="17"/>
    </row>
    <row r="1065" spans="5:5">
      <c r="E1065" s="17"/>
    </row>
    <row r="1066" spans="5:5">
      <c r="E1066" s="17"/>
    </row>
    <row r="1067" spans="5:5">
      <c r="E1067" s="17"/>
    </row>
    <row r="1068" spans="5:5">
      <c r="E1068" s="17"/>
    </row>
    <row r="1069" spans="5:5">
      <c r="E1069" s="17"/>
    </row>
    <row r="1070" spans="5:5">
      <c r="E1070" s="17"/>
    </row>
    <row r="1071" spans="5:5">
      <c r="E1071" s="17"/>
    </row>
    <row r="1072" spans="5:5">
      <c r="E1072" s="17"/>
    </row>
    <row r="1073" spans="5:5">
      <c r="E1073" s="17"/>
    </row>
    <row r="1074" spans="5:5">
      <c r="E1074" s="17"/>
    </row>
    <row r="1075" spans="5:5">
      <c r="E1075" s="17"/>
    </row>
    <row r="1076" spans="5:5">
      <c r="E1076" s="17"/>
    </row>
    <row r="1077" spans="5:5">
      <c r="E1077" s="17"/>
    </row>
    <row r="1078" spans="5:5">
      <c r="E1078" s="17"/>
    </row>
    <row r="1079" spans="5:5">
      <c r="E1079" s="17"/>
    </row>
    <row r="1080" spans="5:5">
      <c r="E1080" s="17"/>
    </row>
    <row r="1081" spans="5:5">
      <c r="E1081" s="17"/>
    </row>
    <row r="1082" spans="5:5">
      <c r="E1082" s="17"/>
    </row>
    <row r="1083" spans="5:5">
      <c r="E1083" s="17"/>
    </row>
    <row r="1084" spans="5:5">
      <c r="E1084" s="17"/>
    </row>
    <row r="1085" spans="5:5">
      <c r="E1085" s="17"/>
    </row>
    <row r="1086" spans="5:5">
      <c r="E1086" s="17"/>
    </row>
    <row r="1087" spans="5:5">
      <c r="E1087" s="17"/>
    </row>
    <row r="1088" spans="5:5">
      <c r="E1088" s="17"/>
    </row>
    <row r="1089" spans="5:5">
      <c r="E1089" s="17"/>
    </row>
    <row r="1090" spans="5:5">
      <c r="E1090" s="17"/>
    </row>
    <row r="1091" spans="5:5">
      <c r="E1091" s="17"/>
    </row>
    <row r="1092" spans="5:5">
      <c r="E1092" s="17"/>
    </row>
    <row r="1093" spans="5:5">
      <c r="E1093" s="17"/>
    </row>
    <row r="1094" spans="5:5">
      <c r="E1094" s="17"/>
    </row>
    <row r="1095" spans="5:5">
      <c r="E1095" s="17"/>
    </row>
    <row r="1096" spans="5:5">
      <c r="E1096" s="17"/>
    </row>
    <row r="1097" spans="5:5">
      <c r="E1097" s="17"/>
    </row>
    <row r="1098" spans="5:5">
      <c r="E1098" s="17"/>
    </row>
    <row r="1099" spans="5:5">
      <c r="E1099" s="17"/>
    </row>
    <row r="1100" spans="5:5">
      <c r="E1100" s="17"/>
    </row>
    <row r="1101" spans="5:5">
      <c r="E1101" s="17"/>
    </row>
    <row r="1102" spans="5:5">
      <c r="E1102" s="17"/>
    </row>
    <row r="1103" spans="5:5">
      <c r="E1103" s="17"/>
    </row>
    <row r="1104" spans="5:5">
      <c r="E1104" s="17"/>
    </row>
    <row r="1105" spans="5:5">
      <c r="E1105" s="17"/>
    </row>
    <row r="1106" spans="5:5">
      <c r="E1106" s="17"/>
    </row>
    <row r="1107" spans="5:5">
      <c r="E1107" s="17"/>
    </row>
    <row r="1108" spans="5:5">
      <c r="E1108" s="17"/>
    </row>
    <row r="1109" spans="5:5">
      <c r="E1109" s="17"/>
    </row>
    <row r="1110" spans="5:5">
      <c r="E1110" s="17"/>
    </row>
    <row r="1111" spans="5:5">
      <c r="E1111" s="17"/>
    </row>
    <row r="1112" spans="5:5">
      <c r="E1112" s="17"/>
    </row>
    <row r="1113" spans="5:5">
      <c r="E1113" s="17"/>
    </row>
    <row r="1114" spans="5:5">
      <c r="E1114" s="17"/>
    </row>
    <row r="1115" spans="5:5">
      <c r="E1115" s="17"/>
    </row>
    <row r="1116" spans="5:5">
      <c r="E1116" s="17"/>
    </row>
    <row r="1117" spans="5:5">
      <c r="E1117" s="17"/>
    </row>
    <row r="1118" spans="5:5">
      <c r="E1118" s="17"/>
    </row>
    <row r="1119" spans="5:5">
      <c r="E1119" s="17"/>
    </row>
    <row r="1120" spans="5:5">
      <c r="E1120" s="17"/>
    </row>
    <row r="1121" spans="5:5">
      <c r="E1121" s="17"/>
    </row>
    <row r="1122" spans="5:5">
      <c r="E1122" s="17"/>
    </row>
    <row r="1123" spans="5:5">
      <c r="E1123" s="17"/>
    </row>
    <row r="1124" spans="5:5">
      <c r="E1124" s="17"/>
    </row>
    <row r="1125" spans="5:5">
      <c r="E1125" s="17"/>
    </row>
    <row r="1126" spans="5:5">
      <c r="E1126" s="17"/>
    </row>
    <row r="1127" spans="5:5">
      <c r="E1127" s="17"/>
    </row>
    <row r="1128" spans="5:5">
      <c r="E1128" s="17"/>
    </row>
    <row r="1129" spans="5:5">
      <c r="E1129" s="17"/>
    </row>
    <row r="1130" spans="5:5">
      <c r="E1130" s="17"/>
    </row>
    <row r="1131" spans="5:5">
      <c r="E1131" s="17"/>
    </row>
    <row r="1132" spans="5:5">
      <c r="E1132" s="17"/>
    </row>
    <row r="1133" spans="5:5">
      <c r="E1133" s="17"/>
    </row>
    <row r="1134" spans="5:5">
      <c r="E1134" s="17"/>
    </row>
    <row r="1135" spans="5:5">
      <c r="E1135" s="17"/>
    </row>
    <row r="1136" spans="5:5">
      <c r="E1136" s="17"/>
    </row>
    <row r="1137" spans="5:5">
      <c r="E1137" s="17"/>
    </row>
    <row r="1138" spans="5:5">
      <c r="E1138" s="17"/>
    </row>
    <row r="1139" spans="5:5">
      <c r="E1139" s="17"/>
    </row>
    <row r="1140" spans="5:5">
      <c r="E1140" s="17"/>
    </row>
    <row r="1141" spans="5:5">
      <c r="E1141" s="17"/>
    </row>
    <row r="1142" spans="5:5">
      <c r="E1142" s="17"/>
    </row>
    <row r="1143" spans="5:5">
      <c r="E1143" s="17"/>
    </row>
    <row r="1144" spans="5:5">
      <c r="E1144" s="17"/>
    </row>
    <row r="1145" spans="5:5">
      <c r="E1145" s="17"/>
    </row>
    <row r="1146" spans="5:5">
      <c r="E1146" s="17"/>
    </row>
    <row r="1147" spans="5:5">
      <c r="E1147" s="17"/>
    </row>
    <row r="1148" spans="5:5">
      <c r="E1148" s="17"/>
    </row>
    <row r="1149" spans="5:5">
      <c r="E1149" s="17"/>
    </row>
    <row r="1150" spans="5:5">
      <c r="E1150" s="17"/>
    </row>
    <row r="1151" spans="5:5">
      <c r="E1151" s="17"/>
    </row>
    <row r="1152" spans="5:5">
      <c r="E1152" s="17"/>
    </row>
    <row r="1153" spans="5:5">
      <c r="E1153" s="17"/>
    </row>
    <row r="1154" spans="5:5">
      <c r="E1154" s="17"/>
    </row>
    <row r="1155" spans="5:5">
      <c r="E1155" s="17"/>
    </row>
    <row r="1156" spans="5:5">
      <c r="E1156" s="17"/>
    </row>
    <row r="1157" spans="5:5">
      <c r="E1157" s="17"/>
    </row>
    <row r="1158" spans="5:5">
      <c r="E1158" s="17"/>
    </row>
    <row r="1159" spans="5:5">
      <c r="E1159" s="17"/>
    </row>
    <row r="1160" spans="5:5">
      <c r="E1160" s="17"/>
    </row>
    <row r="1161" spans="5:5">
      <c r="E1161" s="17"/>
    </row>
    <row r="1162" spans="5:5">
      <c r="E1162" s="17"/>
    </row>
    <row r="1163" spans="5:5">
      <c r="E1163" s="17"/>
    </row>
    <row r="1164" spans="5:5">
      <c r="E1164" s="17"/>
    </row>
    <row r="1165" spans="5:5">
      <c r="E1165" s="17"/>
    </row>
    <row r="1166" spans="5:5">
      <c r="E1166" s="17"/>
    </row>
    <row r="1167" spans="5:5">
      <c r="E1167" s="17"/>
    </row>
    <row r="1168" spans="5:5">
      <c r="E1168" s="17"/>
    </row>
    <row r="1169" spans="5:5">
      <c r="E1169" s="17"/>
    </row>
    <row r="1170" spans="5:5">
      <c r="E1170" s="17"/>
    </row>
    <row r="1171" spans="5:5">
      <c r="E1171" s="17"/>
    </row>
    <row r="1172" spans="5:5">
      <c r="E1172" s="17"/>
    </row>
    <row r="1173" spans="5:5">
      <c r="E1173" s="17"/>
    </row>
    <row r="1174" spans="5:5">
      <c r="E1174" s="17"/>
    </row>
    <row r="1175" spans="5:5">
      <c r="E1175" s="17"/>
    </row>
    <row r="1176" spans="5:5">
      <c r="E1176" s="17"/>
    </row>
    <row r="1177" spans="5:5">
      <c r="E1177" s="17"/>
    </row>
    <row r="1178" spans="5:5">
      <c r="E1178" s="17"/>
    </row>
    <row r="1179" spans="5:5">
      <c r="E1179" s="17"/>
    </row>
    <row r="1180" spans="5:5">
      <c r="E1180" s="17"/>
    </row>
    <row r="1181" spans="5:5">
      <c r="E1181" s="17"/>
    </row>
    <row r="1182" spans="5:5">
      <c r="E1182" s="17"/>
    </row>
    <row r="1183" spans="5:5">
      <c r="E1183" s="17"/>
    </row>
    <row r="1184" spans="5:5">
      <c r="E1184" s="17"/>
    </row>
    <row r="1185" spans="5:5">
      <c r="E1185" s="17"/>
    </row>
    <row r="1186" spans="5:5">
      <c r="E1186" s="17"/>
    </row>
    <row r="1187" spans="5:5">
      <c r="E1187" s="17"/>
    </row>
    <row r="1188" spans="5:5">
      <c r="E1188" s="17"/>
    </row>
    <row r="1189" spans="5:5">
      <c r="E1189" s="17"/>
    </row>
    <row r="1190" spans="5:5">
      <c r="E1190" s="17"/>
    </row>
    <row r="1191" spans="5:5">
      <c r="E1191" s="17"/>
    </row>
    <row r="1192" spans="5:5">
      <c r="E1192" s="17"/>
    </row>
    <row r="1193" spans="5:5">
      <c r="E1193" s="17"/>
    </row>
    <row r="1194" spans="5:5">
      <c r="E1194" s="17"/>
    </row>
    <row r="1195" spans="5:5">
      <c r="E1195" s="17"/>
    </row>
    <row r="1196" spans="5:5">
      <c r="E1196" s="17"/>
    </row>
    <row r="1197" spans="5:5">
      <c r="E1197" s="17"/>
    </row>
    <row r="1198" spans="5:5">
      <c r="E1198" s="17"/>
    </row>
    <row r="1199" spans="5:5">
      <c r="E1199" s="17"/>
    </row>
    <row r="1200" spans="5:5">
      <c r="E1200" s="17"/>
    </row>
    <row r="1201" spans="5:5">
      <c r="E1201" s="17"/>
    </row>
    <row r="1202" spans="5:5">
      <c r="E1202" s="17"/>
    </row>
    <row r="1203" spans="5:5">
      <c r="E1203" s="17"/>
    </row>
    <row r="1204" spans="5:5">
      <c r="E1204" s="17"/>
    </row>
    <row r="1205" spans="5:5">
      <c r="E1205" s="17"/>
    </row>
    <row r="1206" spans="5:5">
      <c r="E1206" s="17"/>
    </row>
    <row r="1207" spans="5:5">
      <c r="E1207" s="17"/>
    </row>
    <row r="1208" spans="5:5">
      <c r="E1208" s="17"/>
    </row>
    <row r="1209" spans="5:5">
      <c r="E1209" s="17"/>
    </row>
    <row r="1210" spans="5:5">
      <c r="E1210" s="17"/>
    </row>
    <row r="1211" spans="5:5">
      <c r="E1211" s="17"/>
    </row>
    <row r="1212" spans="5:5">
      <c r="E1212" s="17"/>
    </row>
    <row r="1213" spans="5:5">
      <c r="E1213" s="17"/>
    </row>
    <row r="1214" spans="5:5">
      <c r="E1214" s="17"/>
    </row>
    <row r="1215" spans="5:5">
      <c r="E1215" s="17"/>
    </row>
    <row r="1216" spans="5:5">
      <c r="E1216" s="17"/>
    </row>
    <row r="1217" spans="5:5">
      <c r="E1217" s="17"/>
    </row>
    <row r="1218" spans="5:5">
      <c r="E1218" s="17"/>
    </row>
    <row r="1219" spans="5:5">
      <c r="E1219" s="17"/>
    </row>
    <row r="1220" spans="5:5">
      <c r="E1220" s="17"/>
    </row>
    <row r="1221" spans="5:5">
      <c r="E1221" s="17"/>
    </row>
    <row r="1222" spans="5:5">
      <c r="E1222" s="17"/>
    </row>
    <row r="1223" spans="5:5">
      <c r="E1223" s="17"/>
    </row>
    <row r="1224" spans="5:5">
      <c r="E1224" s="17"/>
    </row>
    <row r="1225" spans="5:5">
      <c r="E1225" s="17"/>
    </row>
    <row r="1226" spans="5:5">
      <c r="E1226" s="17"/>
    </row>
    <row r="1227" spans="5:5">
      <c r="E1227" s="17"/>
    </row>
    <row r="1228" spans="5:5">
      <c r="E1228" s="17"/>
    </row>
    <row r="1229" spans="5:5">
      <c r="E1229" s="17"/>
    </row>
    <row r="1230" spans="5:5">
      <c r="E1230" s="17"/>
    </row>
    <row r="1231" spans="5:5">
      <c r="E1231" s="17"/>
    </row>
    <row r="1232" spans="5:5">
      <c r="E1232" s="17"/>
    </row>
    <row r="1233" spans="5:5">
      <c r="E1233" s="17"/>
    </row>
    <row r="1234" spans="5:5">
      <c r="E1234" s="17"/>
    </row>
    <row r="1235" spans="5:5">
      <c r="E1235" s="17"/>
    </row>
    <row r="1236" spans="5:5">
      <c r="E1236" s="17"/>
    </row>
    <row r="1237" spans="5:5">
      <c r="E1237" s="17"/>
    </row>
    <row r="1238" spans="5:5">
      <c r="E1238" s="17"/>
    </row>
    <row r="1239" spans="5:5">
      <c r="E1239" s="17"/>
    </row>
    <row r="1240" spans="5:5">
      <c r="E1240" s="17"/>
    </row>
    <row r="1241" spans="5:5">
      <c r="E1241" s="17"/>
    </row>
    <row r="1242" spans="5:5">
      <c r="E1242" s="17"/>
    </row>
    <row r="1243" spans="5:5">
      <c r="E1243" s="17"/>
    </row>
    <row r="1244" spans="5:5">
      <c r="E1244" s="17"/>
    </row>
    <row r="1245" spans="5:5">
      <c r="E1245" s="17"/>
    </row>
    <row r="1246" spans="5:5">
      <c r="E1246" s="17"/>
    </row>
    <row r="1247" spans="5:5">
      <c r="E1247" s="17"/>
    </row>
    <row r="1248" spans="5:5">
      <c r="E1248" s="17"/>
    </row>
    <row r="1249" spans="5:5">
      <c r="E1249" s="17"/>
    </row>
    <row r="1250" spans="5:5">
      <c r="E1250" s="17"/>
    </row>
    <row r="1251" spans="5:5">
      <c r="E1251" s="17"/>
    </row>
    <row r="1252" spans="5:5">
      <c r="E1252" s="17"/>
    </row>
    <row r="1253" spans="5:5">
      <c r="E1253" s="17"/>
    </row>
    <row r="1254" spans="5:5">
      <c r="E1254" s="17"/>
    </row>
    <row r="1255" spans="5:5">
      <c r="E1255" s="17"/>
    </row>
    <row r="1256" spans="5:5">
      <c r="E1256" s="17"/>
    </row>
    <row r="1257" spans="5:5">
      <c r="E1257" s="17"/>
    </row>
    <row r="1258" spans="5:5">
      <c r="E1258" s="17"/>
    </row>
    <row r="1259" spans="5:5">
      <c r="E1259" s="17"/>
    </row>
    <row r="1260" spans="5:5">
      <c r="E1260" s="17"/>
    </row>
    <row r="1261" spans="5:5">
      <c r="E1261" s="17"/>
    </row>
    <row r="1262" spans="5:5">
      <c r="E1262" s="17"/>
    </row>
    <row r="1263" spans="5:5">
      <c r="E1263" s="17"/>
    </row>
    <row r="1264" spans="5:5">
      <c r="E1264" s="17"/>
    </row>
    <row r="1265" spans="5:5">
      <c r="E1265" s="17"/>
    </row>
    <row r="1266" spans="5:5">
      <c r="E1266" s="17"/>
    </row>
    <row r="1267" spans="5:5">
      <c r="E1267" s="17"/>
    </row>
    <row r="1268" spans="5:5">
      <c r="E1268" s="17"/>
    </row>
    <row r="1269" spans="5:5">
      <c r="E1269" s="17"/>
    </row>
    <row r="1270" spans="5:5">
      <c r="E1270" s="17"/>
    </row>
    <row r="1271" spans="5:5">
      <c r="E1271" s="17"/>
    </row>
    <row r="1272" spans="5:5">
      <c r="E1272" s="17"/>
    </row>
    <row r="1273" spans="5:5">
      <c r="E1273" s="17"/>
    </row>
    <row r="1274" spans="5:5">
      <c r="E1274" s="17"/>
    </row>
    <row r="1275" spans="5:5">
      <c r="E1275" s="17"/>
    </row>
    <row r="1276" spans="5:5">
      <c r="E1276" s="17"/>
    </row>
    <row r="1277" spans="5:5">
      <c r="E1277" s="17"/>
    </row>
    <row r="1278" spans="5:5">
      <c r="E1278" s="17"/>
    </row>
    <row r="1279" spans="5:5">
      <c r="E1279" s="17"/>
    </row>
    <row r="1280" spans="5:5">
      <c r="E1280" s="17"/>
    </row>
    <row r="1281" spans="5:5">
      <c r="E1281" s="17"/>
    </row>
    <row r="1282" spans="5:5">
      <c r="E1282" s="17"/>
    </row>
    <row r="1283" spans="5:5">
      <c r="E1283" s="17"/>
    </row>
    <row r="1284" spans="5:5">
      <c r="E1284" s="17"/>
    </row>
    <row r="1285" spans="5:5">
      <c r="E1285" s="17"/>
    </row>
    <row r="1286" spans="5:5">
      <c r="E1286" s="17"/>
    </row>
    <row r="1287" spans="5:5">
      <c r="E1287" s="17"/>
    </row>
    <row r="1288" spans="5:5">
      <c r="E1288" s="17"/>
    </row>
    <row r="1289" spans="5:5">
      <c r="E1289" s="17"/>
    </row>
    <row r="1290" spans="5:5">
      <c r="E1290" s="17"/>
    </row>
    <row r="1291" spans="5:5">
      <c r="E1291" s="17"/>
    </row>
    <row r="1292" spans="5:5">
      <c r="E1292" s="17"/>
    </row>
    <row r="1293" spans="5:5">
      <c r="E1293" s="17"/>
    </row>
    <row r="1294" spans="5:5">
      <c r="E1294" s="17"/>
    </row>
    <row r="1295" spans="5:5">
      <c r="E1295" s="17"/>
    </row>
    <row r="1296" spans="5:5">
      <c r="E1296" s="17"/>
    </row>
    <row r="1297" spans="5:5">
      <c r="E1297" s="17"/>
    </row>
    <row r="1298" spans="5:5">
      <c r="E1298" s="17"/>
    </row>
    <row r="1299" spans="5:5">
      <c r="E1299" s="17"/>
    </row>
    <row r="1300" spans="5:5">
      <c r="E1300" s="17"/>
    </row>
    <row r="1301" spans="5:5">
      <c r="E1301" s="17"/>
    </row>
    <row r="1302" spans="5:5">
      <c r="E1302" s="17"/>
    </row>
    <row r="1303" spans="5:5">
      <c r="E1303" s="17"/>
    </row>
    <row r="1304" spans="5:5">
      <c r="E1304" s="17"/>
    </row>
    <row r="1305" spans="5:5">
      <c r="E1305" s="17"/>
    </row>
    <row r="1306" spans="5:5">
      <c r="E1306" s="17"/>
    </row>
    <row r="1307" spans="5:5">
      <c r="E1307" s="17"/>
    </row>
    <row r="1308" spans="5:5">
      <c r="E1308" s="17"/>
    </row>
    <row r="1309" spans="5:5">
      <c r="E1309" s="17"/>
    </row>
    <row r="1310" spans="5:5">
      <c r="E1310" s="17"/>
    </row>
    <row r="1311" spans="5:5">
      <c r="E1311" s="17"/>
    </row>
    <row r="1312" spans="5:5">
      <c r="E1312" s="17"/>
    </row>
    <row r="1313" spans="5:5">
      <c r="E1313" s="17"/>
    </row>
    <row r="1314" spans="5:5">
      <c r="E1314" s="17"/>
    </row>
    <row r="1315" spans="5:5">
      <c r="E1315" s="17"/>
    </row>
    <row r="1316" spans="5:5">
      <c r="E1316" s="17"/>
    </row>
    <row r="1317" spans="5:5">
      <c r="E1317" s="17"/>
    </row>
    <row r="1318" spans="5:5">
      <c r="E1318" s="17"/>
    </row>
    <row r="1319" spans="5:5">
      <c r="E1319" s="17"/>
    </row>
    <row r="1320" spans="5:5">
      <c r="E1320" s="17"/>
    </row>
    <row r="1321" spans="5:5">
      <c r="E1321" s="17"/>
    </row>
    <row r="1322" spans="5:5">
      <c r="E1322" s="17"/>
    </row>
    <row r="1323" spans="5:5">
      <c r="E1323" s="17"/>
    </row>
    <row r="1324" spans="5:5">
      <c r="E1324" s="17"/>
    </row>
    <row r="1325" spans="5:5">
      <c r="E1325" s="17"/>
    </row>
    <row r="1326" spans="5:5">
      <c r="E1326" s="17"/>
    </row>
    <row r="1327" spans="5:5">
      <c r="E1327" s="17"/>
    </row>
    <row r="1328" spans="5:5">
      <c r="E1328" s="17"/>
    </row>
    <row r="1329" spans="5:5">
      <c r="E1329" s="17"/>
    </row>
    <row r="1330" spans="5:5">
      <c r="E1330" s="17"/>
    </row>
    <row r="1331" spans="5:5">
      <c r="E1331" s="17"/>
    </row>
    <row r="1332" spans="5:5">
      <c r="E1332" s="17"/>
    </row>
    <row r="1333" spans="5:5">
      <c r="E1333" s="17"/>
    </row>
    <row r="1334" spans="5:5">
      <c r="E1334" s="17"/>
    </row>
    <row r="1335" spans="5:5">
      <c r="E1335" s="17"/>
    </row>
    <row r="1336" spans="5:5">
      <c r="E1336" s="17"/>
    </row>
    <row r="1337" spans="5:5">
      <c r="E1337" s="17"/>
    </row>
    <row r="1338" spans="5:5">
      <c r="E1338" s="17"/>
    </row>
    <row r="1339" spans="5:5">
      <c r="E1339" s="17"/>
    </row>
    <row r="1340" spans="5:5">
      <c r="E1340" s="17"/>
    </row>
    <row r="1341" spans="5:5">
      <c r="E1341" s="17"/>
    </row>
    <row r="1342" spans="5:5">
      <c r="E1342" s="17"/>
    </row>
    <row r="1343" spans="5:5">
      <c r="E1343" s="17"/>
    </row>
    <row r="1344" spans="5:5">
      <c r="E1344" s="17"/>
    </row>
    <row r="1345" spans="5:5">
      <c r="E1345" s="17"/>
    </row>
    <row r="1346" spans="5:5">
      <c r="E1346" s="17"/>
    </row>
    <row r="1347" spans="5:5">
      <c r="E1347" s="17"/>
    </row>
    <row r="1348" spans="5:5">
      <c r="E1348" s="17"/>
    </row>
    <row r="1349" spans="5:5">
      <c r="E1349" s="17"/>
    </row>
    <row r="1350" spans="5:5">
      <c r="E1350" s="17"/>
    </row>
    <row r="1351" spans="5:5">
      <c r="E1351" s="17"/>
    </row>
    <row r="1352" spans="5:5">
      <c r="E1352" s="17"/>
    </row>
    <row r="1353" spans="5:5">
      <c r="E1353" s="17"/>
    </row>
    <row r="1354" spans="5:5">
      <c r="E1354" s="17"/>
    </row>
    <row r="1355" spans="5:5">
      <c r="E1355" s="17"/>
    </row>
    <row r="1356" spans="5:5">
      <c r="E1356" s="17"/>
    </row>
    <row r="1357" spans="5:5">
      <c r="E1357" s="17"/>
    </row>
    <row r="1358" spans="5:5">
      <c r="E1358" s="17"/>
    </row>
    <row r="1359" spans="5:5">
      <c r="E1359" s="17"/>
    </row>
    <row r="1360" spans="5:5">
      <c r="E1360" s="17"/>
    </row>
    <row r="1361" spans="5:5">
      <c r="E1361" s="17"/>
    </row>
    <row r="1362" spans="5:5">
      <c r="E1362" s="17"/>
    </row>
    <row r="1363" spans="5:5">
      <c r="E1363" s="17"/>
    </row>
    <row r="1364" spans="5:5">
      <c r="E1364" s="17"/>
    </row>
    <row r="1365" spans="5:5">
      <c r="E1365" s="17"/>
    </row>
    <row r="1366" spans="5:5">
      <c r="E1366" s="17"/>
    </row>
    <row r="1367" spans="5:5">
      <c r="E1367" s="17"/>
    </row>
    <row r="1368" spans="5:5">
      <c r="E1368" s="17"/>
    </row>
    <row r="1369" spans="5:5">
      <c r="E1369" s="17"/>
    </row>
    <row r="1370" spans="5:5">
      <c r="E1370" s="17"/>
    </row>
    <row r="1371" spans="5:5">
      <c r="E1371" s="17"/>
    </row>
    <row r="1372" spans="5:5">
      <c r="E1372" s="17"/>
    </row>
    <row r="1373" spans="5:5">
      <c r="E1373" s="17"/>
    </row>
    <row r="1374" spans="5:5">
      <c r="E1374" s="17"/>
    </row>
    <row r="1375" spans="5:5">
      <c r="E1375" s="17"/>
    </row>
    <row r="1376" spans="5:5">
      <c r="E1376" s="17"/>
    </row>
    <row r="1377" spans="5:5">
      <c r="E1377" s="17"/>
    </row>
    <row r="1378" spans="5:5">
      <c r="E1378" s="17"/>
    </row>
    <row r="1379" spans="5:5">
      <c r="E1379" s="17"/>
    </row>
    <row r="1380" spans="5:5">
      <c r="E1380" s="17"/>
    </row>
    <row r="1381" spans="5:5">
      <c r="E1381" s="17"/>
    </row>
    <row r="1382" spans="5:5">
      <c r="E1382" s="17"/>
    </row>
    <row r="1383" spans="5:5">
      <c r="E1383" s="17"/>
    </row>
    <row r="1384" spans="5:5">
      <c r="E1384" s="17"/>
    </row>
    <row r="1385" spans="5:5">
      <c r="E1385" s="17"/>
    </row>
    <row r="1386" spans="5:5">
      <c r="E1386" s="17"/>
    </row>
    <row r="1387" spans="5:5">
      <c r="E1387" s="17"/>
    </row>
    <row r="1388" spans="5:5">
      <c r="E1388" s="17"/>
    </row>
    <row r="1389" spans="5:5">
      <c r="E1389" s="17"/>
    </row>
    <row r="1390" spans="5:5">
      <c r="E1390" s="17"/>
    </row>
    <row r="1391" spans="5:5">
      <c r="E1391" s="17"/>
    </row>
    <row r="1392" spans="5:5">
      <c r="E1392" s="17"/>
    </row>
    <row r="1393" spans="5:5">
      <c r="E1393" s="17"/>
    </row>
    <row r="1394" spans="5:5">
      <c r="E1394" s="17"/>
    </row>
    <row r="1395" spans="5:5">
      <c r="E1395" s="17"/>
    </row>
    <row r="1396" spans="5:5">
      <c r="E1396" s="17"/>
    </row>
    <row r="1397" spans="5:5">
      <c r="E1397" s="17"/>
    </row>
    <row r="1398" spans="5:5">
      <c r="E1398" s="17"/>
    </row>
    <row r="1399" spans="5:5">
      <c r="E1399" s="17"/>
    </row>
    <row r="1400" spans="5:5">
      <c r="E1400" s="17"/>
    </row>
    <row r="1401" spans="5:5">
      <c r="E1401" s="17"/>
    </row>
    <row r="1402" spans="5:5">
      <c r="E1402" s="17"/>
    </row>
    <row r="1403" spans="5:5">
      <c r="E1403" s="17"/>
    </row>
    <row r="1404" spans="5:5">
      <c r="E1404" s="17"/>
    </row>
    <row r="1405" spans="5:5">
      <c r="E1405" s="17"/>
    </row>
    <row r="1406" spans="5:5">
      <c r="E1406" s="17"/>
    </row>
    <row r="1407" spans="5:5">
      <c r="E1407" s="17"/>
    </row>
    <row r="1408" spans="5:5">
      <c r="E1408" s="17"/>
    </row>
    <row r="1409" spans="5:5">
      <c r="E1409" s="17"/>
    </row>
    <row r="1410" spans="5:5">
      <c r="E1410" s="17"/>
    </row>
    <row r="1411" spans="5:5">
      <c r="E1411" s="17"/>
    </row>
    <row r="1412" spans="5:5">
      <c r="E1412" s="17"/>
    </row>
    <row r="1413" spans="5:5">
      <c r="E1413" s="17"/>
    </row>
    <row r="1414" spans="5:5">
      <c r="E1414" s="17"/>
    </row>
    <row r="1415" spans="5:5">
      <c r="E1415" s="17"/>
    </row>
    <row r="1416" spans="5:5">
      <c r="E1416" s="17"/>
    </row>
    <row r="1417" spans="5:5">
      <c r="E1417" s="17"/>
    </row>
    <row r="1418" spans="5:5">
      <c r="E1418" s="17"/>
    </row>
    <row r="1419" spans="5:5">
      <c r="E1419" s="17"/>
    </row>
    <row r="1420" spans="5:5">
      <c r="E1420" s="17"/>
    </row>
    <row r="1421" spans="5:5">
      <c r="E1421" s="17"/>
    </row>
    <row r="1422" spans="5:5">
      <c r="E1422" s="17"/>
    </row>
    <row r="1423" spans="5:5">
      <c r="E1423" s="17"/>
    </row>
    <row r="1424" spans="5:5">
      <c r="E1424" s="17"/>
    </row>
    <row r="1425" spans="5:5">
      <c r="E1425" s="17"/>
    </row>
    <row r="1426" spans="5:5">
      <c r="E1426" s="17"/>
    </row>
    <row r="1427" spans="5:5">
      <c r="E1427" s="17"/>
    </row>
    <row r="1428" spans="5:5">
      <c r="E1428" s="17"/>
    </row>
    <row r="1429" spans="5:5">
      <c r="E1429" s="17"/>
    </row>
    <row r="1430" spans="5:5">
      <c r="E1430" s="17"/>
    </row>
    <row r="1431" spans="5:5">
      <c r="E1431" s="17"/>
    </row>
    <row r="1432" spans="5:5">
      <c r="E1432" s="17"/>
    </row>
    <row r="1433" spans="5:5">
      <c r="E1433" s="17"/>
    </row>
    <row r="1434" spans="5:5">
      <c r="E1434" s="17"/>
    </row>
    <row r="1435" spans="5:5">
      <c r="E1435" s="17"/>
    </row>
    <row r="1436" spans="5:5">
      <c r="E1436" s="17"/>
    </row>
    <row r="1437" spans="5:5">
      <c r="E1437" s="17"/>
    </row>
    <row r="1438" spans="5:5">
      <c r="E1438" s="17"/>
    </row>
    <row r="1439" spans="5:5">
      <c r="E1439" s="17"/>
    </row>
    <row r="1440" spans="5:5">
      <c r="E1440" s="17"/>
    </row>
    <row r="1441" spans="5:5">
      <c r="E1441" s="17"/>
    </row>
    <row r="1442" spans="5:5">
      <c r="E1442" s="17"/>
    </row>
    <row r="1443" spans="5:5">
      <c r="E1443" s="17"/>
    </row>
    <row r="1444" spans="5:5">
      <c r="E1444" s="17"/>
    </row>
    <row r="1445" spans="5:5">
      <c r="E1445" s="17"/>
    </row>
    <row r="1446" spans="5:5">
      <c r="E1446" s="17"/>
    </row>
    <row r="1447" spans="5:5">
      <c r="E1447" s="17"/>
    </row>
    <row r="1448" spans="5:5">
      <c r="E1448" s="17"/>
    </row>
    <row r="1449" spans="5:5">
      <c r="E1449" s="17"/>
    </row>
    <row r="1450" spans="5:5">
      <c r="E1450" s="17"/>
    </row>
    <row r="1451" spans="5:5">
      <c r="E1451" s="17"/>
    </row>
    <row r="1452" spans="5:5">
      <c r="E1452" s="17"/>
    </row>
    <row r="1453" spans="5:5">
      <c r="E1453" s="17"/>
    </row>
    <row r="1454" spans="5:5">
      <c r="E1454" s="17"/>
    </row>
    <row r="1455" spans="5:5">
      <c r="E1455" s="17"/>
    </row>
    <row r="1456" spans="5:5">
      <c r="E1456" s="17"/>
    </row>
    <row r="1457" spans="5:5">
      <c r="E1457" s="17"/>
    </row>
    <row r="1458" spans="5:5">
      <c r="E1458" s="17"/>
    </row>
    <row r="1459" spans="5:5">
      <c r="E1459" s="17"/>
    </row>
    <row r="1460" spans="5:5">
      <c r="E1460" s="17"/>
    </row>
    <row r="1461" spans="5:5">
      <c r="E1461" s="17"/>
    </row>
    <row r="1462" spans="5:5">
      <c r="E1462" s="17"/>
    </row>
    <row r="1463" spans="5:5">
      <c r="E1463" s="17"/>
    </row>
    <row r="1464" spans="5:5">
      <c r="E1464" s="17"/>
    </row>
    <row r="1465" spans="5:5">
      <c r="E1465" s="17"/>
    </row>
    <row r="1466" spans="5:5">
      <c r="E1466" s="17"/>
    </row>
    <row r="1467" spans="5:5">
      <c r="E1467" s="17"/>
    </row>
    <row r="1468" spans="5:5">
      <c r="E1468" s="17"/>
    </row>
    <row r="1469" spans="5:5">
      <c r="E1469" s="17"/>
    </row>
    <row r="1470" spans="5:5">
      <c r="E1470" s="17"/>
    </row>
    <row r="1471" spans="5:5">
      <c r="E1471" s="17"/>
    </row>
    <row r="1472" spans="5:5">
      <c r="E1472" s="17"/>
    </row>
    <row r="1473" spans="5:5">
      <c r="E1473" s="17"/>
    </row>
    <row r="1474" spans="5:5">
      <c r="E1474" s="17"/>
    </row>
    <row r="1475" spans="5:5">
      <c r="E1475" s="17"/>
    </row>
    <row r="1476" spans="5:5">
      <c r="E1476" s="17"/>
    </row>
    <row r="1477" spans="5:5">
      <c r="E1477" s="17"/>
    </row>
    <row r="1478" spans="5:5">
      <c r="E1478" s="17"/>
    </row>
    <row r="1479" spans="5:5">
      <c r="E1479" s="17"/>
    </row>
    <row r="1480" spans="5:5">
      <c r="E1480" s="17"/>
    </row>
    <row r="1481" spans="5:5">
      <c r="E1481" s="17"/>
    </row>
    <row r="1482" spans="5:5">
      <c r="E1482" s="17"/>
    </row>
    <row r="1483" spans="5:5">
      <c r="E1483" s="17"/>
    </row>
    <row r="1484" spans="5:5">
      <c r="E1484" s="17"/>
    </row>
    <row r="1485" spans="5:5">
      <c r="E1485" s="17"/>
    </row>
    <row r="1486" spans="5:5">
      <c r="E1486" s="17"/>
    </row>
    <row r="1487" spans="5:5">
      <c r="E1487" s="17"/>
    </row>
    <row r="1488" spans="5:5">
      <c r="E1488" s="17"/>
    </row>
    <row r="1489" spans="5:5">
      <c r="E1489" s="17"/>
    </row>
    <row r="1490" spans="5:5">
      <c r="E1490" s="17"/>
    </row>
    <row r="1491" spans="5:5">
      <c r="E1491" s="17"/>
    </row>
    <row r="1492" spans="5:5">
      <c r="E1492" s="17"/>
    </row>
    <row r="1493" spans="5:5">
      <c r="E1493" s="17"/>
    </row>
    <row r="1494" spans="5:5">
      <c r="E1494" s="17"/>
    </row>
    <row r="1495" spans="5:5">
      <c r="E1495" s="17"/>
    </row>
    <row r="1496" spans="5:5">
      <c r="E1496" s="17"/>
    </row>
    <row r="1497" spans="5:5">
      <c r="E1497" s="17"/>
    </row>
    <row r="1498" spans="5:5">
      <c r="E1498" s="17"/>
    </row>
    <row r="1499" spans="5:5">
      <c r="E1499" s="17"/>
    </row>
    <row r="1500" spans="5:5">
      <c r="E1500" s="17"/>
    </row>
    <row r="1501" spans="5:5">
      <c r="E1501" s="17"/>
    </row>
    <row r="1502" spans="5:5">
      <c r="E1502" s="17"/>
    </row>
    <row r="1503" spans="5:5">
      <c r="E1503" s="17"/>
    </row>
    <row r="1504" spans="5:5">
      <c r="E1504" s="17"/>
    </row>
    <row r="1505" spans="5:5">
      <c r="E1505" s="17"/>
    </row>
    <row r="1506" spans="5:5">
      <c r="E1506" s="17"/>
    </row>
    <row r="1507" spans="5:5">
      <c r="E1507" s="17"/>
    </row>
    <row r="1508" spans="5:5">
      <c r="E1508" s="17"/>
    </row>
    <row r="1509" spans="5:5">
      <c r="E1509" s="17"/>
    </row>
    <row r="1510" spans="5:5">
      <c r="E1510" s="17"/>
    </row>
    <row r="1511" spans="5:5">
      <c r="E1511" s="17"/>
    </row>
    <row r="1512" spans="5:5">
      <c r="E1512" s="17"/>
    </row>
    <row r="1513" spans="5:5">
      <c r="E1513" s="17"/>
    </row>
    <row r="1514" spans="5:5">
      <c r="E1514" s="17"/>
    </row>
    <row r="1515" spans="5:5">
      <c r="E1515" s="17"/>
    </row>
    <row r="1516" spans="5:5">
      <c r="E1516" s="17"/>
    </row>
    <row r="1517" spans="5:5">
      <c r="E1517" s="17"/>
    </row>
    <row r="1518" spans="5:5">
      <c r="E1518" s="17"/>
    </row>
    <row r="1519" spans="5:5">
      <c r="E1519" s="17"/>
    </row>
    <row r="1520" spans="5:5">
      <c r="E1520" s="17"/>
    </row>
    <row r="1521" spans="5:5">
      <c r="E1521" s="17"/>
    </row>
    <row r="1522" spans="5:5">
      <c r="E1522" s="17"/>
    </row>
    <row r="1523" spans="5:5">
      <c r="E1523" s="17"/>
    </row>
    <row r="1524" spans="5:5">
      <c r="E1524" s="17"/>
    </row>
    <row r="1525" spans="5:5">
      <c r="E1525" s="17"/>
    </row>
    <row r="1526" spans="5:5">
      <c r="E1526" s="17"/>
    </row>
    <row r="1527" spans="5:5">
      <c r="E1527" s="17"/>
    </row>
    <row r="1528" spans="5:5">
      <c r="E1528" s="17"/>
    </row>
    <row r="1529" spans="5:5">
      <c r="E1529" s="17"/>
    </row>
    <row r="1530" spans="5:5">
      <c r="E1530" s="17"/>
    </row>
    <row r="1531" spans="5:5">
      <c r="E1531" s="17"/>
    </row>
    <row r="1532" spans="5:5">
      <c r="E1532" s="17"/>
    </row>
    <row r="1533" spans="5:5">
      <c r="E1533" s="17"/>
    </row>
    <row r="1534" spans="5:5">
      <c r="E1534" s="17"/>
    </row>
    <row r="1535" spans="5:5">
      <c r="E1535" s="17"/>
    </row>
    <row r="1536" spans="5:5">
      <c r="E1536" s="17"/>
    </row>
    <row r="1537" spans="5:5">
      <c r="E1537" s="17"/>
    </row>
    <row r="1538" spans="5:5">
      <c r="E1538" s="17"/>
    </row>
    <row r="1539" spans="5:5">
      <c r="E1539" s="17"/>
    </row>
    <row r="1540" spans="5:5">
      <c r="E1540" s="17"/>
    </row>
    <row r="1541" spans="5:5">
      <c r="E1541" s="17"/>
    </row>
    <row r="1542" spans="5:5">
      <c r="E1542" s="17"/>
    </row>
    <row r="1543" spans="5:5">
      <c r="E1543" s="17"/>
    </row>
    <row r="1544" spans="5:5">
      <c r="E1544" s="17"/>
    </row>
    <row r="1545" spans="5:5">
      <c r="E1545" s="17"/>
    </row>
    <row r="1546" spans="5:5">
      <c r="E1546" s="17"/>
    </row>
    <row r="1547" spans="5:5">
      <c r="E1547" s="17"/>
    </row>
    <row r="1548" spans="5:5">
      <c r="E1548" s="17"/>
    </row>
    <row r="1549" spans="5:5">
      <c r="E1549" s="17"/>
    </row>
    <row r="1550" spans="5:5">
      <c r="E1550" s="17"/>
    </row>
    <row r="1551" spans="5:5">
      <c r="E1551" s="17"/>
    </row>
    <row r="1552" spans="5:5">
      <c r="E1552" s="17"/>
    </row>
    <row r="1553" spans="5:5">
      <c r="E1553" s="17"/>
    </row>
    <row r="1554" spans="5:5">
      <c r="E1554" s="17"/>
    </row>
    <row r="1555" spans="5:5">
      <c r="E1555" s="17"/>
    </row>
    <row r="1556" spans="5:5">
      <c r="E1556" s="17"/>
    </row>
    <row r="1557" spans="5:5">
      <c r="E1557" s="17"/>
    </row>
    <row r="1558" spans="5:5">
      <c r="E1558" s="17"/>
    </row>
    <row r="1559" spans="5:5">
      <c r="E1559" s="17"/>
    </row>
    <row r="1560" spans="5:5">
      <c r="E1560" s="17"/>
    </row>
    <row r="1561" spans="5:5">
      <c r="E1561" s="17"/>
    </row>
    <row r="1562" spans="5:5">
      <c r="E1562" s="17"/>
    </row>
    <row r="1563" spans="5:5">
      <c r="E1563" s="17"/>
    </row>
    <row r="1564" spans="5:5">
      <c r="E1564" s="17"/>
    </row>
    <row r="1565" spans="5:5">
      <c r="E1565" s="17"/>
    </row>
    <row r="1566" spans="5:5">
      <c r="E1566" s="17"/>
    </row>
    <row r="1567" spans="5:5">
      <c r="E1567" s="17"/>
    </row>
    <row r="1568" spans="5:5">
      <c r="E1568" s="17"/>
    </row>
    <row r="1569" spans="5:5">
      <c r="E1569" s="17"/>
    </row>
    <row r="1570" spans="5:5">
      <c r="E1570" s="17"/>
    </row>
    <row r="1571" spans="5:5">
      <c r="E1571" s="17"/>
    </row>
    <row r="1572" spans="5:5">
      <c r="E1572" s="17"/>
    </row>
    <row r="1573" spans="5:5">
      <c r="E1573" s="17"/>
    </row>
    <row r="1574" spans="5:5">
      <c r="E1574" s="17"/>
    </row>
    <row r="1575" spans="5:5">
      <c r="E1575" s="17"/>
    </row>
    <row r="1576" spans="5:5">
      <c r="E1576" s="17"/>
    </row>
    <row r="1577" spans="5:5">
      <c r="E1577" s="17"/>
    </row>
    <row r="1578" spans="5:5">
      <c r="E1578" s="17"/>
    </row>
    <row r="1579" spans="5:5">
      <c r="E1579" s="17"/>
    </row>
    <row r="1580" spans="5:5">
      <c r="E1580" s="17"/>
    </row>
    <row r="1581" spans="5:5">
      <c r="E1581" s="17"/>
    </row>
    <row r="1582" spans="5:5">
      <c r="E1582" s="17"/>
    </row>
    <row r="1583" spans="5:5">
      <c r="E1583" s="17"/>
    </row>
    <row r="1584" spans="5:5">
      <c r="E1584" s="17"/>
    </row>
    <row r="1585" spans="5:5">
      <c r="E1585" s="17"/>
    </row>
    <row r="1586" spans="5:5">
      <c r="E1586" s="17"/>
    </row>
    <row r="1587" spans="5:5">
      <c r="E1587" s="17"/>
    </row>
    <row r="1588" spans="5:5">
      <c r="E1588" s="17"/>
    </row>
    <row r="1589" spans="5:5">
      <c r="E1589" s="17"/>
    </row>
    <row r="1590" spans="5:5">
      <c r="E1590" s="17"/>
    </row>
    <row r="1591" spans="5:5">
      <c r="E1591" s="17"/>
    </row>
    <row r="1592" spans="5:5">
      <c r="E1592" s="17"/>
    </row>
    <row r="1593" spans="5:5">
      <c r="E1593" s="17"/>
    </row>
    <row r="1594" spans="5:5">
      <c r="E1594" s="17"/>
    </row>
    <row r="1595" spans="5:5">
      <c r="E1595" s="17"/>
    </row>
    <row r="1596" spans="5:5">
      <c r="E1596" s="17"/>
    </row>
    <row r="1597" spans="5:5">
      <c r="E1597" s="17"/>
    </row>
    <row r="1598" spans="5:5">
      <c r="E1598" s="17"/>
    </row>
    <row r="1599" spans="5:5">
      <c r="E1599" s="17"/>
    </row>
    <row r="1600" spans="5:5">
      <c r="E1600" s="17"/>
    </row>
    <row r="1601" spans="5:5">
      <c r="E1601" s="17"/>
    </row>
    <row r="1602" spans="5:5">
      <c r="E1602" s="17"/>
    </row>
    <row r="1603" spans="5:5">
      <c r="E1603" s="17"/>
    </row>
    <row r="1604" spans="5:5">
      <c r="E1604" s="17"/>
    </row>
    <row r="1605" spans="5:5">
      <c r="E1605" s="17"/>
    </row>
    <row r="1606" spans="5:5">
      <c r="E1606" s="17"/>
    </row>
    <row r="1607" spans="5:5">
      <c r="E1607" s="17"/>
    </row>
    <row r="1608" spans="5:5">
      <c r="E1608" s="17"/>
    </row>
    <row r="1609" spans="5:5">
      <c r="E1609" s="17"/>
    </row>
    <row r="1610" spans="5:5">
      <c r="E1610" s="17"/>
    </row>
    <row r="1611" spans="5:5">
      <c r="E1611" s="17"/>
    </row>
    <row r="1612" spans="5:5">
      <c r="E1612" s="17"/>
    </row>
    <row r="1613" spans="5:5">
      <c r="E1613" s="17"/>
    </row>
    <row r="1614" spans="5:5">
      <c r="E1614" s="17"/>
    </row>
    <row r="1615" spans="5:5">
      <c r="E1615" s="17"/>
    </row>
    <row r="1616" spans="5:5">
      <c r="E1616" s="17"/>
    </row>
    <row r="1617" spans="5:5">
      <c r="E1617" s="17"/>
    </row>
    <row r="1618" spans="5:5">
      <c r="E1618" s="17"/>
    </row>
    <row r="1619" spans="5:5">
      <c r="E1619" s="17"/>
    </row>
    <row r="1620" spans="5:5">
      <c r="E1620" s="17"/>
    </row>
    <row r="1621" spans="5:5">
      <c r="E1621" s="17"/>
    </row>
    <row r="1622" spans="5:5">
      <c r="E1622" s="17"/>
    </row>
    <row r="1623" spans="5:5">
      <c r="E1623" s="17"/>
    </row>
    <row r="1624" spans="5:5">
      <c r="E1624" s="17"/>
    </row>
    <row r="1625" spans="5:5">
      <c r="E1625" s="17"/>
    </row>
    <row r="1626" spans="5:5">
      <c r="E1626" s="17"/>
    </row>
    <row r="1627" spans="5:5">
      <c r="E1627" s="17"/>
    </row>
    <row r="1628" spans="5:5">
      <c r="E1628" s="17"/>
    </row>
    <row r="1629" spans="5:5">
      <c r="E1629" s="17"/>
    </row>
    <row r="1630" spans="5:5">
      <c r="E1630" s="17"/>
    </row>
    <row r="1631" spans="5:5">
      <c r="E1631" s="17"/>
    </row>
    <row r="1632" spans="5:5">
      <c r="E1632" s="17"/>
    </row>
    <row r="1633" spans="5:5">
      <c r="E1633" s="17"/>
    </row>
    <row r="1634" spans="5:5">
      <c r="E1634" s="17"/>
    </row>
    <row r="1635" spans="5:5">
      <c r="E1635" s="17"/>
    </row>
    <row r="1636" spans="5:5">
      <c r="E1636" s="17"/>
    </row>
    <row r="1637" spans="5:5">
      <c r="E1637" s="17"/>
    </row>
    <row r="1638" spans="5:5">
      <c r="E1638" s="17"/>
    </row>
    <row r="1639" spans="5:5">
      <c r="E1639" s="17"/>
    </row>
    <row r="1640" spans="5:5">
      <c r="E1640" s="17"/>
    </row>
    <row r="1641" spans="5:5">
      <c r="E1641" s="17"/>
    </row>
    <row r="1642" spans="5:5">
      <c r="E1642" s="17"/>
    </row>
    <row r="1643" spans="5:5">
      <c r="E1643" s="17"/>
    </row>
    <row r="1644" spans="5:5">
      <c r="E1644" s="17"/>
    </row>
    <row r="1645" spans="5:5">
      <c r="E1645" s="17"/>
    </row>
    <row r="1646" spans="5:5">
      <c r="E1646" s="17"/>
    </row>
    <row r="1647" spans="5:5">
      <c r="E1647" s="17"/>
    </row>
    <row r="1648" spans="5:5">
      <c r="E1648" s="17"/>
    </row>
    <row r="1649" spans="5:5">
      <c r="E1649" s="17"/>
    </row>
    <row r="1650" spans="5:5">
      <c r="E1650" s="17"/>
    </row>
    <row r="1651" spans="5:5">
      <c r="E1651" s="17"/>
    </row>
    <row r="1652" spans="5:5">
      <c r="E1652" s="17"/>
    </row>
    <row r="1653" spans="5:5">
      <c r="E1653" s="17"/>
    </row>
    <row r="1654" spans="5:5">
      <c r="E1654" s="17"/>
    </row>
    <row r="1655" spans="5:5">
      <c r="E1655" s="17"/>
    </row>
    <row r="1656" spans="5:5">
      <c r="E1656" s="17"/>
    </row>
    <row r="1657" spans="5:5">
      <c r="E1657" s="17"/>
    </row>
    <row r="1658" spans="5:5">
      <c r="E1658" s="17"/>
    </row>
    <row r="1659" spans="5:5">
      <c r="E1659" s="17"/>
    </row>
    <row r="1660" spans="5:5">
      <c r="E1660" s="17"/>
    </row>
    <row r="1661" spans="5:5">
      <c r="E1661" s="17"/>
    </row>
    <row r="1662" spans="5:5">
      <c r="E1662" s="17"/>
    </row>
    <row r="1663" spans="5:5">
      <c r="E1663" s="17"/>
    </row>
    <row r="1664" spans="5:5">
      <c r="E1664" s="17"/>
    </row>
    <row r="1665" spans="5:5">
      <c r="E1665" s="17"/>
    </row>
    <row r="1666" spans="5:5">
      <c r="E1666" s="17"/>
    </row>
    <row r="1667" spans="5:5">
      <c r="E1667" s="17"/>
    </row>
    <row r="1668" spans="5:5">
      <c r="E1668" s="17"/>
    </row>
    <row r="1669" spans="5:5">
      <c r="E1669" s="17"/>
    </row>
    <row r="1670" spans="5:5">
      <c r="E1670" s="17"/>
    </row>
    <row r="1671" spans="5:5">
      <c r="E1671" s="17"/>
    </row>
    <row r="1672" spans="5:5">
      <c r="E1672" s="17"/>
    </row>
    <row r="1673" spans="5:5">
      <c r="E1673" s="17"/>
    </row>
    <row r="1674" spans="5:5">
      <c r="E1674" s="17"/>
    </row>
    <row r="1675" spans="5:5">
      <c r="E1675" s="17"/>
    </row>
    <row r="1676" spans="5:5">
      <c r="E1676" s="17"/>
    </row>
    <row r="1677" spans="5:5">
      <c r="E1677" s="17"/>
    </row>
    <row r="1678" spans="5:5">
      <c r="E1678" s="17"/>
    </row>
    <row r="1679" spans="5:5">
      <c r="E1679" s="17"/>
    </row>
    <row r="1680" spans="5:5">
      <c r="E1680" s="17"/>
    </row>
    <row r="1681" spans="5:5">
      <c r="E1681" s="17"/>
    </row>
    <row r="1682" spans="5:5">
      <c r="E1682" s="17"/>
    </row>
    <row r="1683" spans="5:5">
      <c r="E1683" s="17"/>
    </row>
    <row r="1684" spans="5:5">
      <c r="E1684" s="17"/>
    </row>
    <row r="1685" spans="5:5">
      <c r="E1685" s="17"/>
    </row>
    <row r="1686" spans="5:5">
      <c r="E1686" s="17"/>
    </row>
    <row r="1687" spans="5:5">
      <c r="E1687" s="17"/>
    </row>
    <row r="1688" spans="5:5">
      <c r="E1688" s="17"/>
    </row>
    <row r="1689" spans="5:5">
      <c r="E1689" s="17"/>
    </row>
    <row r="1690" spans="5:5">
      <c r="E1690" s="17"/>
    </row>
    <row r="1691" spans="5:5">
      <c r="E1691" s="17"/>
    </row>
    <row r="1692" spans="5:5">
      <c r="E1692" s="17"/>
    </row>
    <row r="1693" spans="5:5">
      <c r="E1693" s="17"/>
    </row>
    <row r="1694" spans="5:5">
      <c r="E1694" s="17"/>
    </row>
    <row r="1695" spans="5:5">
      <c r="E1695" s="17"/>
    </row>
    <row r="1696" spans="5:5">
      <c r="E1696" s="17"/>
    </row>
    <row r="1697" spans="5:5">
      <c r="E1697" s="17"/>
    </row>
    <row r="1698" spans="5:5">
      <c r="E1698" s="17"/>
    </row>
    <row r="1699" spans="5:5">
      <c r="E1699" s="17"/>
    </row>
    <row r="1700" spans="5:5">
      <c r="E1700" s="17"/>
    </row>
    <row r="1701" spans="5:5">
      <c r="E1701" s="17"/>
    </row>
    <row r="1702" spans="5:5">
      <c r="E1702" s="17"/>
    </row>
    <row r="1703" spans="5:5">
      <c r="E1703" s="17"/>
    </row>
    <row r="1704" spans="5:5">
      <c r="E1704" s="17"/>
    </row>
    <row r="1705" spans="5:5">
      <c r="E1705" s="17"/>
    </row>
    <row r="1706" spans="5:5">
      <c r="E1706" s="17"/>
    </row>
    <row r="1707" spans="5:5">
      <c r="E1707" s="17"/>
    </row>
    <row r="1708" spans="5:5">
      <c r="E1708" s="17"/>
    </row>
    <row r="1709" spans="5:5">
      <c r="E1709" s="17"/>
    </row>
    <row r="1710" spans="5:5">
      <c r="E1710" s="17"/>
    </row>
    <row r="1711" spans="5:5">
      <c r="E1711" s="17"/>
    </row>
    <row r="1712" spans="5:5">
      <c r="E1712" s="17"/>
    </row>
    <row r="1713" spans="5:5">
      <c r="E1713" s="17"/>
    </row>
    <row r="1714" spans="5:5">
      <c r="E1714" s="17"/>
    </row>
    <row r="1715" spans="5:5">
      <c r="E1715" s="17"/>
    </row>
    <row r="1716" spans="5:5">
      <c r="E1716" s="17"/>
    </row>
    <row r="1717" spans="5:5">
      <c r="E1717" s="17"/>
    </row>
    <row r="1718" spans="5:5">
      <c r="E1718" s="17"/>
    </row>
    <row r="1719" spans="5:5">
      <c r="E1719" s="17"/>
    </row>
    <row r="1720" spans="5:5">
      <c r="E1720" s="17"/>
    </row>
    <row r="1721" spans="5:5">
      <c r="E1721" s="17"/>
    </row>
    <row r="1722" spans="5:5">
      <c r="E1722" s="17"/>
    </row>
    <row r="1723" spans="5:5">
      <c r="E1723" s="17"/>
    </row>
    <row r="1724" spans="5:5">
      <c r="E1724" s="17"/>
    </row>
    <row r="1725" spans="5:5">
      <c r="E1725" s="17"/>
    </row>
    <row r="1726" spans="5:5">
      <c r="E1726" s="17"/>
    </row>
    <row r="1727" spans="5:5">
      <c r="E1727" s="17"/>
    </row>
    <row r="1728" spans="5:5">
      <c r="E1728" s="17"/>
    </row>
    <row r="1729" spans="5:5">
      <c r="E1729" s="17"/>
    </row>
    <row r="1730" spans="5:5">
      <c r="E1730" s="17"/>
    </row>
    <row r="1731" spans="5:5">
      <c r="E1731" s="17"/>
    </row>
    <row r="1732" spans="5:5">
      <c r="E1732" s="17"/>
    </row>
    <row r="1733" spans="5:5">
      <c r="E1733" s="17"/>
    </row>
    <row r="1734" spans="5:5">
      <c r="E1734" s="17"/>
    </row>
    <row r="1735" spans="5:5">
      <c r="E1735" s="17"/>
    </row>
    <row r="1736" spans="5:5">
      <c r="E1736" s="17"/>
    </row>
    <row r="1737" spans="5:5">
      <c r="E1737" s="17"/>
    </row>
    <row r="1738" spans="5:5">
      <c r="E1738" s="17"/>
    </row>
    <row r="1739" spans="5:5">
      <c r="E1739" s="17"/>
    </row>
    <row r="1740" spans="5:5">
      <c r="E1740" s="17"/>
    </row>
    <row r="1741" spans="5:5">
      <c r="E1741" s="17"/>
    </row>
    <row r="1742" spans="5:5">
      <c r="E1742" s="17"/>
    </row>
    <row r="1743" spans="5:5">
      <c r="E1743" s="17"/>
    </row>
    <row r="1744" spans="5:5">
      <c r="E1744" s="17"/>
    </row>
    <row r="1745" spans="5:5">
      <c r="E1745" s="17"/>
    </row>
    <row r="1746" spans="5:5">
      <c r="E1746" s="17"/>
    </row>
    <row r="1747" spans="5:5">
      <c r="E1747" s="17"/>
    </row>
    <row r="1748" spans="5:5">
      <c r="E1748" s="17"/>
    </row>
    <row r="1749" spans="5:5">
      <c r="E1749" s="17"/>
    </row>
    <row r="1750" spans="5:5">
      <c r="E1750" s="17"/>
    </row>
    <row r="1751" spans="5:5">
      <c r="E1751" s="17"/>
    </row>
    <row r="1752" spans="5:5">
      <c r="E1752" s="17"/>
    </row>
    <row r="1753" spans="5:5">
      <c r="E1753" s="17"/>
    </row>
    <row r="1754" spans="5:5">
      <c r="E1754" s="17"/>
    </row>
    <row r="1755" spans="5:5">
      <c r="E1755" s="17"/>
    </row>
    <row r="1756" spans="5:5">
      <c r="E1756" s="17"/>
    </row>
    <row r="1757" spans="5:5">
      <c r="E1757" s="17"/>
    </row>
    <row r="1758" spans="5:5">
      <c r="E1758" s="17"/>
    </row>
    <row r="1759" spans="5:5">
      <c r="E1759" s="17"/>
    </row>
    <row r="1760" spans="5:5">
      <c r="E1760" s="17"/>
    </row>
    <row r="1761" spans="5:5">
      <c r="E1761" s="17"/>
    </row>
    <row r="1762" spans="5:5">
      <c r="E1762" s="17"/>
    </row>
    <row r="1763" spans="5:5">
      <c r="E1763" s="17"/>
    </row>
    <row r="1764" spans="5:5">
      <c r="E1764" s="17"/>
    </row>
    <row r="1765" spans="5:5">
      <c r="E1765" s="17"/>
    </row>
    <row r="1766" spans="5:5">
      <c r="E1766" s="17"/>
    </row>
    <row r="1767" spans="5:5">
      <c r="E1767" s="17"/>
    </row>
    <row r="1768" spans="5:5">
      <c r="E1768" s="17"/>
    </row>
    <row r="1769" spans="5:5">
      <c r="E1769" s="17"/>
    </row>
    <row r="1770" spans="5:5">
      <c r="E1770" s="17"/>
    </row>
    <row r="1771" spans="5:5">
      <c r="E1771" s="17"/>
    </row>
    <row r="1772" spans="5:5">
      <c r="E1772" s="17"/>
    </row>
    <row r="1773" spans="5:5">
      <c r="E1773" s="17"/>
    </row>
    <row r="1774" spans="5:5">
      <c r="E1774" s="17"/>
    </row>
    <row r="1775" spans="5:5">
      <c r="E1775" s="17"/>
    </row>
    <row r="1776" spans="5:5">
      <c r="E1776" s="17"/>
    </row>
    <row r="1777" spans="5:5">
      <c r="E1777" s="17"/>
    </row>
    <row r="1778" spans="5:5">
      <c r="E1778" s="17"/>
    </row>
    <row r="1779" spans="5:5">
      <c r="E1779" s="17"/>
    </row>
    <row r="1780" spans="5:5">
      <c r="E1780" s="17"/>
    </row>
    <row r="1781" spans="5:5">
      <c r="E1781" s="17"/>
    </row>
    <row r="1782" spans="5:5">
      <c r="E1782" s="17"/>
    </row>
    <row r="1783" spans="5:5">
      <c r="E1783" s="17"/>
    </row>
    <row r="1784" spans="5:5">
      <c r="E1784" s="17"/>
    </row>
    <row r="1785" spans="5:5">
      <c r="E1785" s="17"/>
    </row>
    <row r="1786" spans="5:5">
      <c r="E1786" s="17"/>
    </row>
    <row r="1787" spans="5:5">
      <c r="E1787" s="17"/>
    </row>
    <row r="1788" spans="5:5">
      <c r="E1788" s="17"/>
    </row>
    <row r="1789" spans="5:5">
      <c r="E1789" s="17"/>
    </row>
    <row r="1790" spans="5:5">
      <c r="E1790" s="17"/>
    </row>
    <row r="1791" spans="5:5">
      <c r="E1791" s="17"/>
    </row>
    <row r="1792" spans="5:5">
      <c r="E1792" s="17"/>
    </row>
    <row r="1793" spans="5:5">
      <c r="E1793" s="17"/>
    </row>
    <row r="1794" spans="5:5">
      <c r="E1794" s="17"/>
    </row>
    <row r="1795" spans="5:5">
      <c r="E1795" s="17"/>
    </row>
    <row r="1796" spans="5:5">
      <c r="E1796" s="17"/>
    </row>
    <row r="1797" spans="5:5">
      <c r="E1797" s="17"/>
    </row>
    <row r="1798" spans="5:5">
      <c r="E1798" s="17"/>
    </row>
    <row r="1799" spans="5:5">
      <c r="E1799" s="17"/>
    </row>
    <row r="1800" spans="5:5">
      <c r="E1800" s="17"/>
    </row>
    <row r="1801" spans="5:5">
      <c r="E1801" s="17"/>
    </row>
    <row r="1802" spans="5:5">
      <c r="E1802" s="17"/>
    </row>
    <row r="1803" spans="5:5">
      <c r="E1803" s="17"/>
    </row>
    <row r="1804" spans="5:5">
      <c r="E1804" s="17"/>
    </row>
    <row r="1805" spans="5:5">
      <c r="E1805" s="17"/>
    </row>
    <row r="1806" spans="5:5">
      <c r="E1806" s="17"/>
    </row>
    <row r="1807" spans="5:5">
      <c r="E1807" s="17"/>
    </row>
    <row r="1808" spans="5:5">
      <c r="E1808" s="17"/>
    </row>
    <row r="1809" spans="5:5">
      <c r="E1809" s="17"/>
    </row>
    <row r="1810" spans="5:5">
      <c r="E1810" s="17"/>
    </row>
    <row r="1811" spans="5:5">
      <c r="E1811" s="17"/>
    </row>
    <row r="1812" spans="5:5">
      <c r="E1812" s="17"/>
    </row>
    <row r="1813" spans="5:5">
      <c r="E1813" s="17"/>
    </row>
    <row r="1814" spans="5:5">
      <c r="E1814" s="17"/>
    </row>
    <row r="1815" spans="5:5">
      <c r="E1815" s="17"/>
    </row>
    <row r="1816" spans="5:5">
      <c r="E1816" s="17"/>
    </row>
    <row r="1817" spans="5:5">
      <c r="E1817" s="17"/>
    </row>
    <row r="1818" spans="5:5">
      <c r="E1818" s="17"/>
    </row>
    <row r="1819" spans="5:5">
      <c r="E1819" s="17"/>
    </row>
    <row r="1820" spans="5:5">
      <c r="E1820" s="17"/>
    </row>
    <row r="1821" spans="5:5">
      <c r="E1821" s="17"/>
    </row>
    <row r="1822" spans="5:5">
      <c r="E1822" s="17"/>
    </row>
    <row r="1823" spans="5:5">
      <c r="E1823" s="17"/>
    </row>
    <row r="1824" spans="5:5">
      <c r="E1824" s="17"/>
    </row>
    <row r="1825" spans="5:5">
      <c r="E1825" s="17"/>
    </row>
    <row r="1826" spans="5:5">
      <c r="E1826" s="17"/>
    </row>
    <row r="1827" spans="5:5">
      <c r="E1827" s="17"/>
    </row>
    <row r="1828" spans="5:5">
      <c r="E1828" s="17"/>
    </row>
    <row r="1829" spans="5:5">
      <c r="E1829" s="17"/>
    </row>
    <row r="1830" spans="5:5">
      <c r="E1830" s="17"/>
    </row>
    <row r="1831" spans="5:5">
      <c r="E1831" s="17"/>
    </row>
    <row r="1832" spans="5:5">
      <c r="E1832" s="17"/>
    </row>
    <row r="1833" spans="5:5">
      <c r="E1833" s="17"/>
    </row>
    <row r="1834" spans="5:5">
      <c r="E1834" s="17"/>
    </row>
    <row r="1835" spans="5:5">
      <c r="E1835" s="17"/>
    </row>
    <row r="1836" spans="5:5">
      <c r="E1836" s="17"/>
    </row>
    <row r="1837" spans="5:5">
      <c r="E1837" s="17"/>
    </row>
    <row r="1838" spans="5:5">
      <c r="E1838" s="17"/>
    </row>
    <row r="1839" spans="5:5">
      <c r="E1839" s="17"/>
    </row>
    <row r="1840" spans="5:5">
      <c r="E1840" s="17"/>
    </row>
    <row r="1841" spans="5:5">
      <c r="E1841" s="17"/>
    </row>
    <row r="1842" spans="5:5">
      <c r="E1842" s="17"/>
    </row>
    <row r="1843" spans="5:5">
      <c r="E1843" s="17"/>
    </row>
    <row r="1844" spans="5:5">
      <c r="E1844" s="17"/>
    </row>
    <row r="1845" spans="5:5">
      <c r="E1845" s="17"/>
    </row>
    <row r="1846" spans="5:5">
      <c r="E1846" s="17"/>
    </row>
    <row r="1847" spans="5:5">
      <c r="E1847" s="17"/>
    </row>
    <row r="1848" spans="5:5">
      <c r="E1848" s="17"/>
    </row>
    <row r="1849" spans="5:5">
      <c r="E1849" s="17"/>
    </row>
    <row r="1850" spans="5:5">
      <c r="E1850" s="17"/>
    </row>
    <row r="1851" spans="5:5">
      <c r="E1851" s="17"/>
    </row>
    <row r="1852" spans="5:5">
      <c r="E1852" s="17"/>
    </row>
    <row r="1853" spans="5:5">
      <c r="E1853" s="17"/>
    </row>
    <row r="1854" spans="5:5">
      <c r="E1854" s="17"/>
    </row>
    <row r="1855" spans="5:5">
      <c r="E1855" s="17"/>
    </row>
    <row r="1856" spans="5:5">
      <c r="E1856" s="17"/>
    </row>
    <row r="1857" spans="5:5">
      <c r="E1857" s="17"/>
    </row>
    <row r="1858" spans="5:5">
      <c r="E1858" s="17"/>
    </row>
    <row r="1859" spans="5:5">
      <c r="E1859" s="17"/>
    </row>
    <row r="1860" spans="5:5">
      <c r="E1860" s="17"/>
    </row>
    <row r="1861" spans="5:5">
      <c r="E1861" s="17"/>
    </row>
    <row r="1862" spans="5:5">
      <c r="E1862" s="17"/>
    </row>
    <row r="1863" spans="5:5">
      <c r="E1863" s="17"/>
    </row>
    <row r="1864" spans="5:5">
      <c r="E1864" s="17"/>
    </row>
    <row r="1865" spans="5:5">
      <c r="E1865" s="17"/>
    </row>
    <row r="1866" spans="5:5">
      <c r="E1866" s="17"/>
    </row>
    <row r="1867" spans="5:5">
      <c r="E1867" s="17"/>
    </row>
    <row r="1868" spans="5:5">
      <c r="E1868" s="17"/>
    </row>
    <row r="1869" spans="5:5">
      <c r="E1869" s="17"/>
    </row>
    <row r="1870" spans="5:5">
      <c r="E1870" s="17"/>
    </row>
    <row r="1871" spans="5:5">
      <c r="E1871" s="17"/>
    </row>
    <row r="1872" spans="5:5">
      <c r="E1872" s="17"/>
    </row>
    <row r="1873" spans="5:5">
      <c r="E1873" s="17"/>
    </row>
    <row r="1874" spans="5:5">
      <c r="E1874" s="17"/>
    </row>
    <row r="1875" spans="5:5">
      <c r="E1875" s="17"/>
    </row>
    <row r="1876" spans="5:5">
      <c r="E1876" s="17"/>
    </row>
    <row r="1877" spans="5:5">
      <c r="E1877" s="17"/>
    </row>
    <row r="1878" spans="5:5">
      <c r="E1878" s="17"/>
    </row>
    <row r="1879" spans="5:5">
      <c r="E1879" s="17"/>
    </row>
    <row r="1880" spans="5:5">
      <c r="E1880" s="17"/>
    </row>
    <row r="1881" spans="5:5">
      <c r="E1881" s="17"/>
    </row>
    <row r="1882" spans="5:5">
      <c r="E1882" s="17"/>
    </row>
    <row r="1883" spans="5:5">
      <c r="E1883" s="17"/>
    </row>
    <row r="1884" spans="5:5">
      <c r="E1884" s="17"/>
    </row>
    <row r="1885" spans="5:5">
      <c r="E1885" s="17"/>
    </row>
    <row r="1886" spans="5:5">
      <c r="E1886" s="17"/>
    </row>
    <row r="1887" spans="5:5">
      <c r="E1887" s="17"/>
    </row>
    <row r="1888" spans="5:5">
      <c r="E1888" s="17"/>
    </row>
    <row r="1889" spans="5:5">
      <c r="E1889" s="17"/>
    </row>
    <row r="1890" spans="5:5">
      <c r="E1890" s="17"/>
    </row>
    <row r="1891" spans="5:5">
      <c r="E1891" s="17"/>
    </row>
    <row r="1892" spans="5:5">
      <c r="E1892" s="17"/>
    </row>
    <row r="1893" spans="5:5">
      <c r="E1893" s="17"/>
    </row>
    <row r="1894" spans="5:5">
      <c r="E1894" s="17"/>
    </row>
    <row r="1895" spans="5:5">
      <c r="E1895" s="17"/>
    </row>
    <row r="1896" spans="5:5">
      <c r="E1896" s="17"/>
    </row>
    <row r="1897" spans="5:5">
      <c r="E1897" s="17"/>
    </row>
    <row r="1898" spans="5:5">
      <c r="E1898" s="17"/>
    </row>
    <row r="1899" spans="5:5">
      <c r="E1899" s="17"/>
    </row>
    <row r="1900" spans="5:5">
      <c r="E1900" s="17"/>
    </row>
    <row r="1901" spans="5:5">
      <c r="E1901" s="17"/>
    </row>
    <row r="1902" spans="5:5">
      <c r="E1902" s="17"/>
    </row>
    <row r="1903" spans="5:5">
      <c r="E1903" s="17"/>
    </row>
    <row r="1904" spans="5:5">
      <c r="E1904" s="17"/>
    </row>
    <row r="1905" spans="5:5">
      <c r="E1905" s="17"/>
    </row>
    <row r="1906" spans="5:5">
      <c r="E1906" s="17"/>
    </row>
    <row r="1907" spans="5:5">
      <c r="E1907" s="17"/>
    </row>
    <row r="1908" spans="5:5">
      <c r="E1908" s="17"/>
    </row>
    <row r="1909" spans="5:5">
      <c r="E1909" s="17"/>
    </row>
    <row r="1910" spans="5:5">
      <c r="E1910" s="17"/>
    </row>
    <row r="1911" spans="5:5">
      <c r="E1911" s="17"/>
    </row>
    <row r="1912" spans="5:5">
      <c r="E1912" s="17"/>
    </row>
    <row r="1913" spans="5:5">
      <c r="E1913" s="17"/>
    </row>
    <row r="1914" spans="5:5">
      <c r="E1914" s="17"/>
    </row>
    <row r="1915" spans="5:5">
      <c r="E1915" s="17"/>
    </row>
    <row r="1916" spans="5:5">
      <c r="E1916" s="17"/>
    </row>
    <row r="1917" spans="5:5">
      <c r="E1917" s="17"/>
    </row>
    <row r="1918" spans="5:5">
      <c r="E1918" s="17"/>
    </row>
    <row r="1919" spans="5:5">
      <c r="E1919" s="17"/>
    </row>
    <row r="1920" spans="5:5">
      <c r="E1920" s="17"/>
    </row>
    <row r="1921" spans="5:5">
      <c r="E1921" s="17"/>
    </row>
    <row r="1922" spans="5:5">
      <c r="E1922" s="17"/>
    </row>
    <row r="1923" spans="5:5">
      <c r="E1923" s="17"/>
    </row>
    <row r="1924" spans="5:5">
      <c r="E1924" s="17"/>
    </row>
    <row r="1925" spans="5:5">
      <c r="E1925" s="17"/>
    </row>
    <row r="1926" spans="5:5">
      <c r="E1926" s="17"/>
    </row>
    <row r="1927" spans="5:5">
      <c r="E1927" s="17"/>
    </row>
    <row r="1928" spans="5:5">
      <c r="E1928" s="17"/>
    </row>
    <row r="1929" spans="5:5">
      <c r="E1929" s="17"/>
    </row>
    <row r="1930" spans="5:5">
      <c r="E1930" s="17"/>
    </row>
    <row r="1931" spans="5:5">
      <c r="E1931" s="17"/>
    </row>
    <row r="1932" spans="5:5">
      <c r="E1932" s="17"/>
    </row>
    <row r="1933" spans="5:5">
      <c r="E1933" s="17"/>
    </row>
    <row r="1934" spans="5:5">
      <c r="E1934" s="17"/>
    </row>
    <row r="1935" spans="5:5">
      <c r="E1935" s="17"/>
    </row>
    <row r="1936" spans="5:5">
      <c r="E1936" s="17"/>
    </row>
    <row r="1937" spans="5:5">
      <c r="E1937" s="17"/>
    </row>
    <row r="1938" spans="5:5">
      <c r="E1938" s="17"/>
    </row>
    <row r="1939" spans="5:5">
      <c r="E1939" s="17"/>
    </row>
    <row r="1940" spans="5:5">
      <c r="E1940" s="17"/>
    </row>
    <row r="1941" spans="5:5">
      <c r="E1941" s="17"/>
    </row>
    <row r="1942" spans="5:5">
      <c r="E1942" s="17"/>
    </row>
    <row r="1943" spans="5:5">
      <c r="E1943" s="17"/>
    </row>
    <row r="1944" spans="5:5">
      <c r="E1944" s="17"/>
    </row>
    <row r="1945" spans="5:5">
      <c r="E1945" s="17"/>
    </row>
    <row r="1946" spans="5:5">
      <c r="E1946" s="17"/>
    </row>
    <row r="1947" spans="5:5">
      <c r="E1947" s="17"/>
    </row>
    <row r="1948" spans="5:5">
      <c r="E1948" s="17"/>
    </row>
    <row r="1949" spans="5:5">
      <c r="E1949" s="17"/>
    </row>
    <row r="1950" spans="5:5">
      <c r="E1950" s="17"/>
    </row>
    <row r="1951" spans="5:5">
      <c r="E1951" s="17"/>
    </row>
    <row r="1952" spans="5:5">
      <c r="E1952" s="17"/>
    </row>
    <row r="1953" spans="5:5">
      <c r="E1953" s="17"/>
    </row>
    <row r="1954" spans="5:5">
      <c r="E1954" s="17"/>
    </row>
    <row r="1955" spans="5:5">
      <c r="E1955" s="17"/>
    </row>
    <row r="1956" spans="5:5">
      <c r="E1956" s="17"/>
    </row>
    <row r="1957" spans="5:5">
      <c r="E1957" s="17"/>
    </row>
    <row r="1958" spans="5:5">
      <c r="E1958" s="17"/>
    </row>
    <row r="1959" spans="5:5">
      <c r="E1959" s="17"/>
    </row>
    <row r="1960" spans="5:5">
      <c r="E1960" s="17"/>
    </row>
    <row r="1961" spans="5:5">
      <c r="E1961" s="17"/>
    </row>
    <row r="1962" spans="5:5">
      <c r="E1962" s="17"/>
    </row>
    <row r="1963" spans="5:5">
      <c r="E1963" s="17"/>
    </row>
    <row r="1964" spans="5:5">
      <c r="E1964" s="17"/>
    </row>
    <row r="1965" spans="5:5">
      <c r="E1965" s="17"/>
    </row>
    <row r="1966" spans="5:5">
      <c r="E1966" s="17"/>
    </row>
    <row r="1967" spans="5:5">
      <c r="E1967" s="17"/>
    </row>
    <row r="1968" spans="5:5">
      <c r="E1968" s="17"/>
    </row>
    <row r="1969" spans="5:5">
      <c r="E1969" s="17"/>
    </row>
    <row r="1970" spans="5:5">
      <c r="E1970" s="17"/>
    </row>
    <row r="1971" spans="5:5">
      <c r="E1971" s="17"/>
    </row>
    <row r="1972" spans="5:5">
      <c r="E1972" s="17"/>
    </row>
    <row r="1973" spans="5:5">
      <c r="E1973" s="17"/>
    </row>
    <row r="1974" spans="5:5">
      <c r="E1974" s="17"/>
    </row>
    <row r="1975" spans="5:5">
      <c r="E1975" s="17"/>
    </row>
    <row r="1976" spans="5:5">
      <c r="E1976" s="17"/>
    </row>
    <row r="1977" spans="5:5">
      <c r="E1977" s="17"/>
    </row>
    <row r="1978" spans="5:5">
      <c r="E1978" s="17"/>
    </row>
    <row r="1979" spans="5:5">
      <c r="E1979" s="17"/>
    </row>
    <row r="1980" spans="5:5">
      <c r="E1980" s="17"/>
    </row>
    <row r="1981" spans="5:5">
      <c r="E1981" s="17"/>
    </row>
    <row r="1982" spans="5:5">
      <c r="E1982" s="17"/>
    </row>
    <row r="1983" spans="5:5">
      <c r="E1983" s="17"/>
    </row>
    <row r="1984" spans="5:5">
      <c r="E1984" s="17"/>
    </row>
    <row r="1985" spans="5:5">
      <c r="E1985" s="17"/>
    </row>
    <row r="1986" spans="5:5">
      <c r="E1986" s="17"/>
    </row>
    <row r="1987" spans="5:5">
      <c r="E1987" s="17"/>
    </row>
    <row r="1988" spans="5:5">
      <c r="E1988" s="17"/>
    </row>
    <row r="1989" spans="5:5">
      <c r="E1989" s="17"/>
    </row>
    <row r="1990" spans="5:5">
      <c r="E1990" s="17"/>
    </row>
    <row r="1991" spans="5:5">
      <c r="E1991" s="17"/>
    </row>
    <row r="1992" spans="5:5">
      <c r="E1992" s="17"/>
    </row>
    <row r="1993" spans="5:5">
      <c r="E1993" s="17"/>
    </row>
    <row r="1994" spans="5:5">
      <c r="E1994" s="17"/>
    </row>
    <row r="1995" spans="5:5">
      <c r="E1995" s="17"/>
    </row>
    <row r="1996" spans="5:5">
      <c r="E1996" s="17"/>
    </row>
    <row r="1997" spans="5:5">
      <c r="E1997" s="17"/>
    </row>
    <row r="1998" spans="5:5">
      <c r="E1998" s="17"/>
    </row>
    <row r="1999" spans="5:5">
      <c r="E1999" s="17"/>
    </row>
    <row r="2000" spans="5:5">
      <c r="E2000" s="17"/>
    </row>
    <row r="2001" spans="5:5">
      <c r="E2001" s="17"/>
    </row>
    <row r="2002" spans="5:5">
      <c r="E2002" s="17"/>
    </row>
    <row r="2003" spans="5:5">
      <c r="E2003" s="17"/>
    </row>
    <row r="2004" spans="5:5">
      <c r="E2004" s="17"/>
    </row>
    <row r="2005" spans="5:5">
      <c r="E2005" s="17"/>
    </row>
    <row r="2006" spans="5:5">
      <c r="E2006" s="17"/>
    </row>
    <row r="2007" spans="5:5">
      <c r="E2007" s="17"/>
    </row>
    <row r="2008" spans="5:5">
      <c r="E2008" s="17"/>
    </row>
    <row r="2009" spans="5:5">
      <c r="E2009" s="17"/>
    </row>
    <row r="2010" spans="5:5">
      <c r="E2010" s="17"/>
    </row>
    <row r="2011" spans="5:5">
      <c r="E2011" s="17"/>
    </row>
    <row r="2012" spans="5:5">
      <c r="E2012" s="17"/>
    </row>
    <row r="2013" spans="5:5">
      <c r="E2013" s="17"/>
    </row>
    <row r="2014" spans="5:5">
      <c r="E2014" s="17"/>
    </row>
    <row r="2015" spans="5:5">
      <c r="E2015" s="17"/>
    </row>
    <row r="2016" spans="5:5">
      <c r="E2016" s="17"/>
    </row>
    <row r="2017" spans="5:5">
      <c r="E2017" s="17"/>
    </row>
    <row r="2018" spans="5:5">
      <c r="E2018" s="17"/>
    </row>
    <row r="2019" spans="5:5">
      <c r="E2019" s="17"/>
    </row>
    <row r="2020" spans="5:5">
      <c r="E2020" s="17"/>
    </row>
    <row r="2021" spans="5:5">
      <c r="E2021" s="17"/>
    </row>
    <row r="2022" spans="5:5">
      <c r="E2022" s="17"/>
    </row>
    <row r="2023" spans="5:5">
      <c r="E2023" s="17"/>
    </row>
    <row r="2024" spans="5:5">
      <c r="E2024" s="17"/>
    </row>
    <row r="2025" spans="5:5">
      <c r="E2025" s="17"/>
    </row>
    <row r="2026" spans="5:5">
      <c r="E2026" s="17"/>
    </row>
    <row r="2027" spans="5:5">
      <c r="E2027" s="17"/>
    </row>
    <row r="2028" spans="5:5">
      <c r="E2028" s="17"/>
    </row>
    <row r="2029" spans="5:5">
      <c r="E2029" s="17"/>
    </row>
    <row r="2030" spans="5:5">
      <c r="E2030" s="17"/>
    </row>
    <row r="2031" spans="5:5">
      <c r="E2031" s="17"/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9FD97-DE20-491D-83AE-368AFE48B0B5}">
  <sheetPr codeName="Foglio9">
    <pageSetUpPr fitToPage="1"/>
  </sheetPr>
  <dimension ref="A1:E320"/>
  <sheetViews>
    <sheetView tabSelected="1" workbookViewId="0">
      <selection activeCell="A8" sqref="A8"/>
    </sheetView>
  </sheetViews>
  <sheetFormatPr defaultColWidth="107.140625" defaultRowHeight="15"/>
  <cols>
    <col min="1" max="1" width="71.42578125" customWidth="1"/>
    <col min="2" max="2" width="15.85546875" style="16" bestFit="1" customWidth="1"/>
    <col min="3" max="3" width="12.28515625" bestFit="1" customWidth="1"/>
    <col min="4" max="4" width="12.85546875" bestFit="1" customWidth="1"/>
    <col min="5" max="5" width="24.42578125" bestFit="1" customWidth="1"/>
  </cols>
  <sheetData>
    <row r="1" spans="1:5">
      <c r="A1" s="37"/>
      <c r="B1" s="61"/>
      <c r="C1" s="37"/>
    </row>
    <row r="2" spans="1:5">
      <c r="A2" s="79" t="s">
        <v>631</v>
      </c>
      <c r="B2" s="80" t="s">
        <v>596</v>
      </c>
      <c r="C2" s="81" t="s">
        <v>597</v>
      </c>
    </row>
    <row r="3" spans="1:5">
      <c r="A3" s="78" t="s">
        <v>505</v>
      </c>
      <c r="B3" s="82">
        <v>38000</v>
      </c>
      <c r="C3" s="83">
        <f>+B3/31</f>
        <v>1225.8064516129032</v>
      </c>
    </row>
    <row r="4" spans="1:5">
      <c r="A4" s="97" t="s">
        <v>641</v>
      </c>
      <c r="B4" s="80">
        <v>3300</v>
      </c>
      <c r="C4" s="81">
        <f>+B4/30</f>
        <v>110</v>
      </c>
    </row>
    <row r="5" spans="1:5">
      <c r="A5" s="86" t="s">
        <v>625</v>
      </c>
      <c r="B5" s="87"/>
      <c r="C5" s="88">
        <f>+C4+C3+C2+E18</f>
        <v>1662.3321839170126</v>
      </c>
    </row>
    <row r="6" spans="1:5">
      <c r="A6" s="89"/>
      <c r="B6" s="90"/>
      <c r="C6" s="91"/>
    </row>
    <row r="7" spans="1:5">
      <c r="A7" s="76"/>
      <c r="B7" s="84"/>
      <c r="C7" s="85"/>
    </row>
    <row r="9" spans="1:5" ht="15.75" thickBot="1">
      <c r="A9" s="50" t="s">
        <v>524</v>
      </c>
      <c r="B9" s="51" t="s">
        <v>577</v>
      </c>
      <c r="C9" s="51" t="s">
        <v>576</v>
      </c>
      <c r="D9" s="52" t="s">
        <v>525</v>
      </c>
      <c r="E9" s="53" t="s">
        <v>533</v>
      </c>
    </row>
    <row r="10" spans="1:5" ht="15.75" thickBot="1">
      <c r="A10" s="66" t="str">
        <f>HYPERLINK("#A20","Cucina e Laboratorio")</f>
        <v>Cucina e Laboratorio</v>
      </c>
      <c r="B10" s="44">
        <f>+SUM(cucina_lab[FATTURATI])</f>
        <v>19057.75</v>
      </c>
      <c r="C10" s="44">
        <f>SUM(cucina_lab[PREVISTI])</f>
        <v>62931.500000000015</v>
      </c>
      <c r="D10" s="42">
        <v>0.12</v>
      </c>
      <c r="E10" s="57">
        <f>((Riepilogo[[#This Row],[Previsti]]+Riepilogo[[#This Row],[Fatturati]])*Riepilogo[[#This Row],[Aliquota %]])/365</f>
        <v>26.955369863013701</v>
      </c>
    </row>
    <row r="11" spans="1:5" ht="15.75" thickBot="1">
      <c r="A11" s="66" t="str">
        <f>HYPERLINK("#A58","Arredamento/Mobili/costr. legg.")</f>
        <v>Arredamento/Mobili/costr. legg.</v>
      </c>
      <c r="B11" s="44">
        <f>+SUM(arred_mob[FATTURATI])</f>
        <v>60331.38</v>
      </c>
      <c r="C11" s="44">
        <f>SUM(arred_mob[PREVISTI])</f>
        <v>15898.8</v>
      </c>
      <c r="D11" s="42">
        <v>0.1</v>
      </c>
      <c r="E11" s="57">
        <f>((Riepilogo[[#This Row],[Previsti]]+Riepilogo[[#This Row],[Fatturati]])*Riepilogo[[#This Row],[Aliquota %]])/365</f>
        <v>20.884980821917807</v>
      </c>
    </row>
    <row r="12" spans="1:5" ht="15.75" thickBot="1">
      <c r="A12" s="66" t="str">
        <f>HYPERLINK("#A109","Tecnologia e Cassa")</f>
        <v>Tecnologia e Cassa</v>
      </c>
      <c r="B12" s="44">
        <f>+SUM(tecn_cassa[FATTURATI])</f>
        <v>2955.482</v>
      </c>
      <c r="C12" s="44">
        <f>SUM(tecn_cassa[PREVISTI])</f>
        <v>0</v>
      </c>
      <c r="D12" s="42">
        <v>0.2</v>
      </c>
      <c r="E12" s="57">
        <f>((Riepilogo[[#This Row],[Previsti]]+Riepilogo[[#This Row],[Fatturati]])*Riepilogo[[#This Row],[Aliquota %]])/365</f>
        <v>1.6194421917808219</v>
      </c>
    </row>
    <row r="13" spans="1:5" ht="15.75" thickBot="1">
      <c r="A13" s="66" t="str">
        <f>HYPERLINK("#A119","Impianti e Audio")</f>
        <v>Impianti e Audio</v>
      </c>
      <c r="B13" s="44">
        <f>+SUM(imp_audio[FATTURATI])</f>
        <v>8868.85</v>
      </c>
      <c r="C13" s="44">
        <f>SUM(imp_audio[PREVISTI])</f>
        <v>2500</v>
      </c>
      <c r="D13" s="42">
        <v>0.15</v>
      </c>
      <c r="E13" s="57">
        <f>((Riepilogo[[#This Row],[Previsti]]+Riepilogo[[#This Row],[Fatturati]])*Riepilogo[[#This Row],[Aliquota %]])/365</f>
        <v>4.6721301369863015</v>
      </c>
    </row>
    <row r="14" spans="1:5" ht="15.75" thickBot="1">
      <c r="A14" s="66" t="str">
        <f>HYPERLINK("#A124","Software di gestione")</f>
        <v>Software di gestione</v>
      </c>
      <c r="B14" s="59">
        <f>+SUM(soft_gest[FATTURATI])</f>
        <v>3617.27</v>
      </c>
      <c r="C14" s="44">
        <f>SUM(soft_gest[PREVISTI])</f>
        <v>0</v>
      </c>
      <c r="D14" s="60">
        <v>0.33329999999999999</v>
      </c>
      <c r="E14" s="57">
        <f>((Riepilogo[[#This Row],[Previsti]]+Riepilogo[[#This Row],[Fatturati]])*Riepilogo[[#This Row],[Aliquota %]])/365</f>
        <v>3.3031125780821915</v>
      </c>
    </row>
    <row r="15" spans="1:5" ht="15.75" thickBot="1">
      <c r="A15" s="66" t="str">
        <f>HYPERLINK("#A137","Beni basso costo (&lt;€516)")</f>
        <v>Beni basso costo (&lt;€516)</v>
      </c>
      <c r="B15" s="59">
        <f>+SUM(att_cuc[Fatturati])</f>
        <v>3279.0520000000001</v>
      </c>
      <c r="C15" s="44">
        <f>SUM(att_cuc[Previsti])</f>
        <v>0</v>
      </c>
      <c r="D15" s="60">
        <v>0.25</v>
      </c>
      <c r="E15" s="57">
        <f>((Riepilogo[[#This Row],[Previsti]]+Riepilogo[[#This Row],[Fatturati]])*Riepilogo[[#This Row],[Aliquota %]])/365</f>
        <v>2.2459260273972603</v>
      </c>
    </row>
    <row r="16" spans="1:5" ht="15.75" thickBot="1">
      <c r="A16" s="66" t="str">
        <f>HYPERLINK("#A184","Attrezzatura (stoviglie, att. Cucina etc.)")</f>
        <v>Attrezzatura (stoviglie, att. Cucina etc.)</v>
      </c>
      <c r="B16" s="44">
        <f>+SUM(beni_basso_costo[FATTURATI])</f>
        <v>2056.1212999999998</v>
      </c>
      <c r="C16" s="44">
        <f>SUM(beni_basso_costo[PREVISTI])</f>
        <v>0</v>
      </c>
      <c r="D16" s="42">
        <v>1</v>
      </c>
      <c r="E16" s="57">
        <f>((Riepilogo[[#This Row],[Previsti]]+Riepilogo[[#This Row],[Fatturati]])*Riepilogo[[#This Row],[Aliquota %]])/365</f>
        <v>5.6332090410958902</v>
      </c>
    </row>
    <row r="17" spans="1:5" ht="15.75" thickBot="1">
      <c r="A17" s="66" t="str">
        <f>HYPERLINK("#A303","Prestazioni di terzi")</f>
        <v>Prestazioni di terzi</v>
      </c>
      <c r="B17" s="44">
        <f>+SUM(prest_terzi[Fatturati])</f>
        <v>10176.769999999999</v>
      </c>
      <c r="C17" s="44">
        <f>SUM(prest_terzi[Previsti])</f>
        <v>0</v>
      </c>
      <c r="D17" s="60">
        <v>1</v>
      </c>
      <c r="E17" s="57">
        <f>((Riepilogo[[#This Row],[Previsti]]+Riepilogo[[#This Row],[Fatturati]])*Riepilogo[[#This Row],[Aliquota %]])/365</f>
        <v>27.881561643835614</v>
      </c>
    </row>
    <row r="18" spans="1:5" ht="15.75" thickBot="1">
      <c r="A18" s="54" t="s">
        <v>3</v>
      </c>
      <c r="B18" s="55">
        <f>SUM(B10:B17)</f>
        <v>110342.67530000002</v>
      </c>
      <c r="C18" s="55">
        <f>SUM(C10:C17)</f>
        <v>81330.300000000017</v>
      </c>
      <c r="D18" s="56"/>
      <c r="E18" s="57">
        <f>SUM(E10:E17)</f>
        <v>93.195732304109583</v>
      </c>
    </row>
    <row r="19" spans="1:5" ht="15.75" thickBot="1">
      <c r="A19" s="54"/>
      <c r="B19" s="59"/>
      <c r="C19" s="59"/>
      <c r="D19" s="60"/>
      <c r="E19" s="92">
        <f>((Riepilogo[[#This Row],[Previsti]]+Riepilogo[[#This Row],[Fatturati]])*Riepilogo[[#This Row],[Aliquota %]])/365</f>
        <v>0</v>
      </c>
    </row>
    <row r="20" spans="1:5" ht="15.75" thickBot="1">
      <c r="A20" s="41" t="s">
        <v>526</v>
      </c>
      <c r="B20" s="65" t="s">
        <v>537</v>
      </c>
      <c r="C20" t="s">
        <v>538</v>
      </c>
      <c r="D20" s="67" t="str">
        <f>HYPERLINK("#A7","Riepilogo")</f>
        <v>Riepilogo</v>
      </c>
    </row>
    <row r="21" spans="1:5">
      <c r="A21" s="46" t="s">
        <v>573</v>
      </c>
      <c r="B21" s="48">
        <v>13000</v>
      </c>
      <c r="C21" s="16"/>
    </row>
    <row r="22" spans="1:5">
      <c r="A22" s="46" t="s">
        <v>539</v>
      </c>
      <c r="B22" s="43"/>
      <c r="C22" s="16">
        <v>1325</v>
      </c>
    </row>
    <row r="23" spans="1:5">
      <c r="A23" s="46" t="s">
        <v>540</v>
      </c>
      <c r="C23" s="16">
        <v>1091.3</v>
      </c>
    </row>
    <row r="24" spans="1:5">
      <c r="A24" s="46" t="s">
        <v>541</v>
      </c>
      <c r="C24" s="16">
        <v>575</v>
      </c>
    </row>
    <row r="25" spans="1:5">
      <c r="A25" s="46" t="s">
        <v>542</v>
      </c>
      <c r="C25" s="16">
        <v>1290</v>
      </c>
    </row>
    <row r="26" spans="1:5">
      <c r="A26" s="46" t="s">
        <v>543</v>
      </c>
      <c r="C26" s="16">
        <v>3525</v>
      </c>
    </row>
    <row r="27" spans="1:5">
      <c r="A27" s="46" t="s">
        <v>544</v>
      </c>
      <c r="C27" s="16">
        <v>1883</v>
      </c>
    </row>
    <row r="28" spans="1:5">
      <c r="A28" s="46" t="s">
        <v>545</v>
      </c>
      <c r="C28" s="16">
        <v>133</v>
      </c>
    </row>
    <row r="29" spans="1:5">
      <c r="A29" s="46" t="s">
        <v>546</v>
      </c>
      <c r="C29" s="16">
        <v>29</v>
      </c>
    </row>
    <row r="30" spans="1:5">
      <c r="A30" s="46" t="s">
        <v>529</v>
      </c>
      <c r="C30" s="16">
        <v>795</v>
      </c>
    </row>
    <row r="31" spans="1:5">
      <c r="A31" s="46" t="s">
        <v>547</v>
      </c>
      <c r="C31" s="16">
        <v>497.5</v>
      </c>
    </row>
    <row r="32" spans="1:5">
      <c r="A32" s="46" t="s">
        <v>548</v>
      </c>
      <c r="C32" s="16">
        <v>696.5</v>
      </c>
    </row>
    <row r="33" spans="1:3">
      <c r="A33" s="46" t="s">
        <v>549</v>
      </c>
      <c r="C33" s="16">
        <v>4454.1000000000004</v>
      </c>
    </row>
    <row r="34" spans="1:3">
      <c r="A34" s="46" t="s">
        <v>550</v>
      </c>
      <c r="C34" s="16">
        <v>10353</v>
      </c>
    </row>
    <row r="35" spans="1:3">
      <c r="A35" s="46" t="s">
        <v>551</v>
      </c>
      <c r="C35" s="16">
        <v>1161.3</v>
      </c>
    </row>
    <row r="36" spans="1:3">
      <c r="A36" s="46" t="s">
        <v>552</v>
      </c>
      <c r="C36" s="16">
        <v>3921.4</v>
      </c>
    </row>
    <row r="37" spans="1:3">
      <c r="A37" s="46" t="s">
        <v>553</v>
      </c>
      <c r="C37" s="16">
        <v>2514</v>
      </c>
    </row>
    <row r="38" spans="1:3">
      <c r="A38" s="46" t="s">
        <v>571</v>
      </c>
      <c r="C38" s="16">
        <v>3106</v>
      </c>
    </row>
    <row r="39" spans="1:3">
      <c r="A39" s="46" t="s">
        <v>572</v>
      </c>
      <c r="C39" s="16">
        <v>1791</v>
      </c>
    </row>
    <row r="40" spans="1:3">
      <c r="A40" s="46" t="s">
        <v>554</v>
      </c>
      <c r="C40" s="16">
        <v>2188.5500000000002</v>
      </c>
    </row>
    <row r="41" spans="1:3">
      <c r="A41" s="46" t="s">
        <v>555</v>
      </c>
      <c r="C41" s="16">
        <v>1570.8</v>
      </c>
    </row>
    <row r="42" spans="1:3">
      <c r="A42" s="46" t="s">
        <v>556</v>
      </c>
      <c r="C42" s="16">
        <v>2646.15</v>
      </c>
    </row>
    <row r="43" spans="1:3">
      <c r="A43" s="46" t="s">
        <v>557</v>
      </c>
      <c r="C43" s="16">
        <v>2901.5</v>
      </c>
    </row>
    <row r="44" spans="1:3">
      <c r="A44" s="46" t="s">
        <v>558</v>
      </c>
      <c r="C44" s="16">
        <v>310</v>
      </c>
    </row>
    <row r="45" spans="1:3">
      <c r="A45" s="46" t="s">
        <v>559</v>
      </c>
      <c r="B45" s="45"/>
      <c r="C45" s="16">
        <v>2835</v>
      </c>
    </row>
    <row r="46" spans="1:3">
      <c r="A46" s="46" t="s">
        <v>530</v>
      </c>
      <c r="C46" s="16">
        <v>136.5</v>
      </c>
    </row>
    <row r="47" spans="1:3">
      <c r="A47" s="46" t="s">
        <v>531</v>
      </c>
      <c r="C47" s="16">
        <v>302.39999999999998</v>
      </c>
    </row>
    <row r="48" spans="1:3">
      <c r="A48" s="46" t="s">
        <v>560</v>
      </c>
      <c r="C48" s="16">
        <v>97</v>
      </c>
    </row>
    <row r="49" spans="1:4">
      <c r="A49" s="46" t="s">
        <v>561</v>
      </c>
      <c r="C49" s="16">
        <v>1950</v>
      </c>
    </row>
    <row r="50" spans="1:4">
      <c r="A50" s="46" t="s">
        <v>374</v>
      </c>
      <c r="B50" s="61">
        <v>239</v>
      </c>
      <c r="C50" s="61"/>
    </row>
    <row r="51" spans="1:4">
      <c r="A51" s="46" t="s">
        <v>581</v>
      </c>
      <c r="B51" s="61"/>
      <c r="C51" s="63">
        <v>6430</v>
      </c>
    </row>
    <row r="52" spans="1:4">
      <c r="A52" s="46" t="s">
        <v>583</v>
      </c>
      <c r="B52" s="61"/>
      <c r="C52" s="63">
        <v>2125</v>
      </c>
    </row>
    <row r="53" spans="1:4">
      <c r="A53" s="46" t="s">
        <v>584</v>
      </c>
      <c r="B53" s="61"/>
      <c r="C53" s="63">
        <v>297.5</v>
      </c>
    </row>
    <row r="54" spans="1:4">
      <c r="A54" s="46" t="s">
        <v>607</v>
      </c>
      <c r="B54" s="16">
        <v>2030</v>
      </c>
      <c r="C54" s="16"/>
    </row>
    <row r="55" spans="1:4">
      <c r="A55" s="46" t="s">
        <v>608</v>
      </c>
      <c r="B55" s="16">
        <v>3678.75</v>
      </c>
      <c r="C55" s="16"/>
    </row>
    <row r="56" spans="1:4">
      <c r="A56" s="46" t="s">
        <v>613</v>
      </c>
      <c r="B56" s="16">
        <v>110</v>
      </c>
      <c r="C56" s="16"/>
    </row>
    <row r="57" spans="1:4" ht="15.75" thickBot="1">
      <c r="A57" s="46"/>
      <c r="B57" s="61"/>
      <c r="C57" s="61"/>
    </row>
    <row r="58" spans="1:4" ht="15.75" thickBot="1">
      <c r="A58" s="38" t="s">
        <v>574</v>
      </c>
      <c r="B58" s="58" t="s">
        <v>537</v>
      </c>
      <c r="C58" t="s">
        <v>538</v>
      </c>
      <c r="D58" s="67" t="str">
        <f>HYPERLINK("#A7","Riepilogo")</f>
        <v>Riepilogo</v>
      </c>
    </row>
    <row r="59" spans="1:4">
      <c r="A59" s="46" t="s">
        <v>562</v>
      </c>
      <c r="B59" s="40"/>
      <c r="C59" s="40">
        <v>255</v>
      </c>
    </row>
    <row r="60" spans="1:4">
      <c r="A60" s="46" t="s">
        <v>563</v>
      </c>
      <c r="B60" s="40"/>
      <c r="C60" s="40">
        <v>320.60000000000002</v>
      </c>
    </row>
    <row r="61" spans="1:4">
      <c r="A61" s="46" t="s">
        <v>564</v>
      </c>
      <c r="B61" s="40"/>
      <c r="C61" s="40">
        <v>584.5</v>
      </c>
    </row>
    <row r="62" spans="1:4">
      <c r="A62" s="46" t="s">
        <v>565</v>
      </c>
      <c r="B62" s="40"/>
      <c r="C62" s="40">
        <v>2087.4</v>
      </c>
    </row>
    <row r="63" spans="1:4">
      <c r="A63" s="46" t="s">
        <v>566</v>
      </c>
      <c r="B63" s="40"/>
      <c r="C63" s="40">
        <v>806.4</v>
      </c>
    </row>
    <row r="64" spans="1:4">
      <c r="A64" s="46" t="s">
        <v>567</v>
      </c>
      <c r="B64" s="40"/>
      <c r="C64" s="40">
        <v>1514.8</v>
      </c>
    </row>
    <row r="65" spans="1:3">
      <c r="A65" s="46" t="s">
        <v>568</v>
      </c>
      <c r="B65" s="40"/>
      <c r="C65" s="40">
        <v>443.8</v>
      </c>
    </row>
    <row r="66" spans="1:3">
      <c r="A66" s="46" t="s">
        <v>569</v>
      </c>
      <c r="B66" s="40"/>
      <c r="C66" s="40">
        <v>1049.3</v>
      </c>
    </row>
    <row r="67" spans="1:3">
      <c r="A67" s="46" t="s">
        <v>570</v>
      </c>
      <c r="B67" s="40"/>
      <c r="C67" s="40">
        <v>427</v>
      </c>
    </row>
    <row r="68" spans="1:3">
      <c r="A68" s="46" t="s">
        <v>351</v>
      </c>
      <c r="B68" s="40">
        <v>6000</v>
      </c>
      <c r="C68" s="40"/>
    </row>
    <row r="69" spans="1:3">
      <c r="A69" s="46" t="s">
        <v>350</v>
      </c>
      <c r="B69" s="40">
        <v>7000</v>
      </c>
      <c r="C69" s="40"/>
    </row>
    <row r="70" spans="1:3">
      <c r="A70" s="46" t="s">
        <v>352</v>
      </c>
      <c r="B70" s="40">
        <v>5000</v>
      </c>
      <c r="C70" s="40"/>
    </row>
    <row r="71" spans="1:3">
      <c r="A71" s="46" t="s">
        <v>355</v>
      </c>
      <c r="B71" s="40">
        <v>3500</v>
      </c>
      <c r="C71" s="40"/>
    </row>
    <row r="72" spans="1:3">
      <c r="A72" s="46" t="s">
        <v>356</v>
      </c>
      <c r="B72" s="40">
        <v>3200</v>
      </c>
      <c r="C72" s="40"/>
    </row>
    <row r="73" spans="1:3">
      <c r="A73" s="46" t="s">
        <v>358</v>
      </c>
      <c r="B73" s="40">
        <v>2300</v>
      </c>
      <c r="C73" s="40"/>
    </row>
    <row r="74" spans="1:3">
      <c r="A74" s="46" t="s">
        <v>360</v>
      </c>
      <c r="B74" s="40">
        <v>2000</v>
      </c>
      <c r="C74" s="40"/>
    </row>
    <row r="75" spans="1:3">
      <c r="A75" s="46" t="s">
        <v>359</v>
      </c>
      <c r="B75" s="40">
        <v>4500</v>
      </c>
      <c r="C75" s="40"/>
    </row>
    <row r="76" spans="1:3">
      <c r="A76" s="46" t="s">
        <v>367</v>
      </c>
      <c r="B76" s="40">
        <v>4359.96</v>
      </c>
      <c r="C76" s="40"/>
    </row>
    <row r="77" spans="1:3">
      <c r="A77" s="46" t="s">
        <v>368</v>
      </c>
      <c r="B77" s="40">
        <v>4149.96</v>
      </c>
      <c r="C77" s="40"/>
    </row>
    <row r="78" spans="1:3">
      <c r="A78" s="46" t="s">
        <v>369</v>
      </c>
      <c r="B78" s="40">
        <v>3900</v>
      </c>
      <c r="C78" s="40"/>
    </row>
    <row r="79" spans="1:3">
      <c r="A79" s="46" t="s">
        <v>375</v>
      </c>
      <c r="B79" s="40">
        <v>220</v>
      </c>
      <c r="C79" s="40"/>
    </row>
    <row r="80" spans="1:3">
      <c r="A80" s="46" t="s">
        <v>377</v>
      </c>
      <c r="B80" s="40">
        <v>150</v>
      </c>
      <c r="C80" s="40"/>
    </row>
    <row r="81" spans="1:3">
      <c r="A81" s="46" t="s">
        <v>379</v>
      </c>
      <c r="B81" s="40">
        <v>1690</v>
      </c>
      <c r="C81" s="40"/>
    </row>
    <row r="82" spans="1:3">
      <c r="A82" s="46" t="s">
        <v>393</v>
      </c>
      <c r="B82" s="62">
        <v>2899.96</v>
      </c>
      <c r="C82" s="62"/>
    </row>
    <row r="83" spans="1:3">
      <c r="A83" s="46" t="s">
        <v>580</v>
      </c>
      <c r="B83" s="62"/>
      <c r="C83" s="64">
        <v>490</v>
      </c>
    </row>
    <row r="84" spans="1:3">
      <c r="A84" s="46" t="s">
        <v>582</v>
      </c>
      <c r="B84" s="62"/>
      <c r="C84" s="64">
        <v>1430</v>
      </c>
    </row>
    <row r="85" spans="1:3">
      <c r="A85" s="46" t="s">
        <v>585</v>
      </c>
      <c r="B85" s="62"/>
      <c r="C85" s="64">
        <v>575</v>
      </c>
    </row>
    <row r="86" spans="1:3">
      <c r="A86" s="46" t="s">
        <v>586</v>
      </c>
      <c r="B86" s="62"/>
      <c r="C86" s="64">
        <v>425</v>
      </c>
    </row>
    <row r="87" spans="1:3">
      <c r="A87" s="46" t="s">
        <v>587</v>
      </c>
      <c r="B87" s="62"/>
      <c r="C87" s="64">
        <v>215</v>
      </c>
    </row>
    <row r="88" spans="1:3">
      <c r="A88" s="46" t="s">
        <v>588</v>
      </c>
      <c r="B88" s="62"/>
      <c r="C88" s="64">
        <v>340</v>
      </c>
    </row>
    <row r="89" spans="1:3">
      <c r="A89" s="46" t="s">
        <v>589</v>
      </c>
      <c r="B89" s="62"/>
      <c r="C89" s="64">
        <v>122.5</v>
      </c>
    </row>
    <row r="90" spans="1:3">
      <c r="A90" s="46" t="s">
        <v>590</v>
      </c>
      <c r="B90" s="62"/>
      <c r="C90" s="64">
        <v>775</v>
      </c>
    </row>
    <row r="91" spans="1:3">
      <c r="A91" s="46" t="s">
        <v>591</v>
      </c>
      <c r="B91" s="62"/>
      <c r="C91" s="64">
        <v>340</v>
      </c>
    </row>
    <row r="92" spans="1:3">
      <c r="A92" s="46" t="s">
        <v>592</v>
      </c>
      <c r="B92" s="62"/>
      <c r="C92" s="64">
        <v>675</v>
      </c>
    </row>
    <row r="93" spans="1:3">
      <c r="A93" s="46" t="s">
        <v>593</v>
      </c>
      <c r="B93" s="62"/>
      <c r="C93" s="64">
        <v>775</v>
      </c>
    </row>
    <row r="94" spans="1:3">
      <c r="A94" s="46" t="s">
        <v>594</v>
      </c>
      <c r="B94" s="62"/>
      <c r="C94" s="64">
        <v>1077.5</v>
      </c>
    </row>
    <row r="95" spans="1:3">
      <c r="A95" s="46" t="s">
        <v>595</v>
      </c>
      <c r="B95" s="62"/>
      <c r="C95" s="64">
        <v>405</v>
      </c>
    </row>
    <row r="96" spans="1:3">
      <c r="A96" s="46" t="s">
        <v>590</v>
      </c>
      <c r="B96" s="62"/>
      <c r="C96" s="64">
        <v>765</v>
      </c>
    </row>
    <row r="97" spans="1:4">
      <c r="A97" s="46" t="s">
        <v>599</v>
      </c>
      <c r="B97" s="62">
        <v>250</v>
      </c>
      <c r="C97" s="62"/>
    </row>
    <row r="98" spans="1:4">
      <c r="A98" s="46" t="s">
        <v>600</v>
      </c>
      <c r="B98" s="62">
        <v>1350</v>
      </c>
      <c r="C98" s="62"/>
    </row>
    <row r="99" spans="1:4">
      <c r="A99" s="46" t="s">
        <v>601</v>
      </c>
      <c r="B99" s="62">
        <v>1500</v>
      </c>
      <c r="C99" s="62"/>
    </row>
    <row r="100" spans="1:4">
      <c r="A100" s="46" t="s">
        <v>602</v>
      </c>
      <c r="B100" s="62">
        <v>320</v>
      </c>
      <c r="C100" s="62"/>
    </row>
    <row r="101" spans="1:4">
      <c r="A101" s="46" t="s">
        <v>609</v>
      </c>
      <c r="B101" s="40">
        <v>215</v>
      </c>
      <c r="C101" s="40"/>
    </row>
    <row r="102" spans="1:4">
      <c r="A102" s="46" t="s">
        <v>614</v>
      </c>
      <c r="B102" s="40">
        <v>537.5</v>
      </c>
      <c r="C102" s="40"/>
    </row>
    <row r="103" spans="1:4">
      <c r="A103" s="46" t="s">
        <v>612</v>
      </c>
      <c r="B103" s="40">
        <v>969</v>
      </c>
      <c r="C103" s="40"/>
    </row>
    <row r="104" spans="1:4">
      <c r="A104" s="46" t="s">
        <v>611</v>
      </c>
      <c r="B104" s="40">
        <v>220</v>
      </c>
      <c r="C104" s="40"/>
    </row>
    <row r="105" spans="1:4">
      <c r="A105" s="46" t="s">
        <v>610</v>
      </c>
      <c r="B105" s="40">
        <v>4100</v>
      </c>
      <c r="C105" s="40"/>
    </row>
    <row r="106" spans="1:4">
      <c r="A106" s="46"/>
      <c r="B106" s="62"/>
      <c r="C106" s="64"/>
    </row>
    <row r="107" spans="1:4">
      <c r="A107" s="46"/>
      <c r="B107" s="62"/>
      <c r="C107" s="64"/>
    </row>
    <row r="108" spans="1:4" ht="15.75" thickBot="1">
      <c r="A108" s="46"/>
      <c r="B108" s="62"/>
      <c r="C108" s="62"/>
    </row>
    <row r="109" spans="1:4" ht="15.75" thickBot="1">
      <c r="A109" s="41" t="s">
        <v>527</v>
      </c>
      <c r="B109" s="49" t="s">
        <v>537</v>
      </c>
      <c r="C109" s="47" t="s">
        <v>538</v>
      </c>
      <c r="D109" s="67" t="str">
        <f>HYPERLINK("#A7","Riepilogo")</f>
        <v>Riepilogo</v>
      </c>
    </row>
    <row r="110" spans="1:4">
      <c r="A110" s="37" t="s">
        <v>362</v>
      </c>
      <c r="B110" s="16">
        <v>1300</v>
      </c>
      <c r="C110" s="16"/>
    </row>
    <row r="111" spans="1:4">
      <c r="A111" s="37" t="s">
        <v>363</v>
      </c>
      <c r="B111" s="16">
        <v>700</v>
      </c>
      <c r="C111" s="16"/>
    </row>
    <row r="112" spans="1:4">
      <c r="A112" s="37" t="s">
        <v>370</v>
      </c>
      <c r="B112" s="16">
        <v>300</v>
      </c>
      <c r="C112" s="16"/>
    </row>
    <row r="113" spans="1:4">
      <c r="A113" s="37" t="s">
        <v>372</v>
      </c>
      <c r="B113" s="16">
        <v>250</v>
      </c>
      <c r="C113" s="16"/>
    </row>
    <row r="114" spans="1:4">
      <c r="A114" s="37" t="s">
        <v>378</v>
      </c>
      <c r="B114" s="16">
        <v>300</v>
      </c>
      <c r="C114" s="16"/>
    </row>
    <row r="115" spans="1:4">
      <c r="A115" s="37" t="s">
        <v>384</v>
      </c>
      <c r="B115" s="16">
        <v>90.081999999999994</v>
      </c>
      <c r="C115" s="16"/>
    </row>
    <row r="116" spans="1:4">
      <c r="A116" s="37" t="s">
        <v>473</v>
      </c>
      <c r="B116" s="16">
        <v>7</v>
      </c>
      <c r="C116" s="16"/>
    </row>
    <row r="117" spans="1:4">
      <c r="A117" s="37" t="s">
        <v>495</v>
      </c>
      <c r="B117" s="16">
        <v>8.4</v>
      </c>
      <c r="C117" s="16"/>
    </row>
    <row r="118" spans="1:4" ht="15.75" thickBot="1">
      <c r="A118" s="37"/>
      <c r="C118" s="16"/>
    </row>
    <row r="119" spans="1:4" ht="15.75" thickBot="1">
      <c r="A119" s="41" t="s">
        <v>528</v>
      </c>
      <c r="B119" s="49" t="s">
        <v>537</v>
      </c>
      <c r="C119" s="47" t="s">
        <v>538</v>
      </c>
      <c r="D119" s="67" t="str">
        <f>HYPERLINK("#A7","Riepilogo")</f>
        <v>Riepilogo</v>
      </c>
    </row>
    <row r="120" spans="1:4">
      <c r="A120" s="37" t="s">
        <v>536</v>
      </c>
      <c r="C120" s="16"/>
    </row>
    <row r="121" spans="1:4">
      <c r="A121" s="37" t="s">
        <v>535</v>
      </c>
      <c r="B121" s="16">
        <v>6000</v>
      </c>
      <c r="C121" s="16">
        <v>2500</v>
      </c>
    </row>
    <row r="122" spans="1:4">
      <c r="A122" s="37" t="s">
        <v>357</v>
      </c>
      <c r="B122" s="16">
        <v>2868.85</v>
      </c>
      <c r="C122" s="16"/>
    </row>
    <row r="123" spans="1:4">
      <c r="C123" s="16"/>
    </row>
    <row r="124" spans="1:4">
      <c r="A124" s="37" t="s">
        <v>575</v>
      </c>
      <c r="B124" s="16" t="s">
        <v>537</v>
      </c>
      <c r="C124" s="16" t="s">
        <v>538</v>
      </c>
      <c r="D124" s="67" t="str">
        <f>HYPERLINK("#A7","Riepilogo")</f>
        <v>Riepilogo</v>
      </c>
    </row>
    <row r="125" spans="1:4">
      <c r="A125" t="s">
        <v>366</v>
      </c>
      <c r="B125" s="16">
        <v>500</v>
      </c>
    </row>
    <row r="126" spans="1:4">
      <c r="A126" t="s">
        <v>376</v>
      </c>
      <c r="B126" s="16">
        <v>180</v>
      </c>
    </row>
    <row r="127" spans="1:4">
      <c r="A127" t="s">
        <v>361</v>
      </c>
      <c r="B127" s="16">
        <v>1440</v>
      </c>
    </row>
    <row r="128" spans="1:4">
      <c r="A128" t="s">
        <v>365</v>
      </c>
      <c r="B128" s="16">
        <v>500</v>
      </c>
    </row>
    <row r="129" spans="1:4">
      <c r="A129" t="s">
        <v>373</v>
      </c>
      <c r="B129" s="16">
        <v>250</v>
      </c>
    </row>
    <row r="130" spans="1:4">
      <c r="A130" t="s">
        <v>364</v>
      </c>
      <c r="B130" s="16">
        <v>480</v>
      </c>
    </row>
    <row r="131" spans="1:4">
      <c r="A131" t="s">
        <v>385</v>
      </c>
      <c r="B131" s="61">
        <v>73.77</v>
      </c>
    </row>
    <row r="132" spans="1:4">
      <c r="A132" t="s">
        <v>391</v>
      </c>
      <c r="B132" s="61">
        <v>100</v>
      </c>
    </row>
    <row r="133" spans="1:4">
      <c r="A133" t="s">
        <v>603</v>
      </c>
      <c r="B133" s="16">
        <v>18</v>
      </c>
    </row>
    <row r="134" spans="1:4">
      <c r="A134" t="s">
        <v>604</v>
      </c>
      <c r="B134" s="16">
        <v>69</v>
      </c>
    </row>
    <row r="135" spans="1:4">
      <c r="A135" t="s">
        <v>605</v>
      </c>
      <c r="B135" s="16">
        <v>6.5</v>
      </c>
    </row>
    <row r="136" spans="1:4" ht="15.75" thickBot="1"/>
    <row r="137" spans="1:4" ht="15.75" thickBot="1">
      <c r="A137" s="41" t="s">
        <v>534</v>
      </c>
      <c r="B137" s="49" t="s">
        <v>537</v>
      </c>
      <c r="C137" s="47" t="s">
        <v>538</v>
      </c>
      <c r="D137" s="67" t="str">
        <f>HYPERLINK("#A7","Riepilogo")</f>
        <v>Riepilogo</v>
      </c>
    </row>
    <row r="138" spans="1:4">
      <c r="A138" s="37" t="s">
        <v>499</v>
      </c>
      <c r="B138" s="16">
        <v>2.38</v>
      </c>
      <c r="C138" s="16"/>
    </row>
    <row r="139" spans="1:4">
      <c r="A139" s="37" t="s">
        <v>521</v>
      </c>
      <c r="B139" s="61">
        <v>2.46</v>
      </c>
      <c r="C139" s="61"/>
    </row>
    <row r="140" spans="1:4">
      <c r="A140" s="37" t="s">
        <v>488</v>
      </c>
      <c r="B140" s="61">
        <v>3.43</v>
      </c>
      <c r="C140" s="61"/>
    </row>
    <row r="141" spans="1:4">
      <c r="A141" s="37" t="s">
        <v>489</v>
      </c>
      <c r="B141" s="61">
        <v>3.43</v>
      </c>
      <c r="C141" s="61"/>
    </row>
    <row r="142" spans="1:4">
      <c r="A142" s="37" t="s">
        <v>490</v>
      </c>
      <c r="B142" s="61">
        <v>3.43</v>
      </c>
      <c r="C142" s="61"/>
    </row>
    <row r="143" spans="1:4">
      <c r="A143" s="37" t="s">
        <v>491</v>
      </c>
      <c r="B143" s="61">
        <v>3.43</v>
      </c>
      <c r="C143" s="61"/>
    </row>
    <row r="144" spans="1:4">
      <c r="A144" s="37" t="s">
        <v>492</v>
      </c>
      <c r="B144" s="61">
        <v>3.43</v>
      </c>
      <c r="C144" s="61"/>
    </row>
    <row r="145" spans="1:3">
      <c r="A145" s="37" t="s">
        <v>493</v>
      </c>
      <c r="B145" s="61">
        <v>3.43</v>
      </c>
      <c r="C145" s="61"/>
    </row>
    <row r="146" spans="1:3">
      <c r="A146" s="37" t="s">
        <v>487</v>
      </c>
      <c r="B146" s="61">
        <v>3.95</v>
      </c>
      <c r="C146" s="61"/>
    </row>
    <row r="147" spans="1:3">
      <c r="A147" s="37" t="s">
        <v>487</v>
      </c>
      <c r="B147" s="61">
        <v>3.95</v>
      </c>
      <c r="C147" s="61"/>
    </row>
    <row r="148" spans="1:3">
      <c r="A148" s="37" t="s">
        <v>478</v>
      </c>
      <c r="B148" s="61">
        <v>4.78</v>
      </c>
      <c r="C148" s="61"/>
    </row>
    <row r="149" spans="1:3">
      <c r="A149" s="37" t="s">
        <v>480</v>
      </c>
      <c r="B149" s="61">
        <v>4.79</v>
      </c>
      <c r="C149" s="61"/>
    </row>
    <row r="150" spans="1:3">
      <c r="A150" s="37" t="s">
        <v>476</v>
      </c>
      <c r="B150" s="61">
        <v>5.59</v>
      </c>
      <c r="C150" s="61"/>
    </row>
    <row r="151" spans="1:3">
      <c r="A151" s="37" t="s">
        <v>477</v>
      </c>
      <c r="B151" s="61">
        <v>5.59</v>
      </c>
      <c r="C151" s="61"/>
    </row>
    <row r="152" spans="1:3">
      <c r="A152" s="37" t="s">
        <v>441</v>
      </c>
      <c r="B152" s="61">
        <v>10.78</v>
      </c>
      <c r="C152" s="61"/>
    </row>
    <row r="153" spans="1:3">
      <c r="A153" s="37" t="s">
        <v>441</v>
      </c>
      <c r="B153" s="61">
        <v>10.78</v>
      </c>
      <c r="C153" s="61"/>
    </row>
    <row r="154" spans="1:3">
      <c r="A154" s="37" t="s">
        <v>436</v>
      </c>
      <c r="B154" s="61">
        <v>11.87</v>
      </c>
      <c r="C154" s="61"/>
    </row>
    <row r="155" spans="1:3">
      <c r="A155" s="37" t="s">
        <v>431</v>
      </c>
      <c r="B155" s="61">
        <v>13.032999999999999</v>
      </c>
      <c r="C155" s="61"/>
    </row>
    <row r="156" spans="1:3">
      <c r="A156" s="37" t="s">
        <v>517</v>
      </c>
      <c r="B156" s="61">
        <v>16.559999999999999</v>
      </c>
      <c r="C156" s="61"/>
    </row>
    <row r="157" spans="1:3">
      <c r="A157" s="37" t="s">
        <v>453</v>
      </c>
      <c r="B157" s="61">
        <v>18</v>
      </c>
      <c r="C157" s="61"/>
    </row>
    <row r="158" spans="1:3">
      <c r="A158" s="37" t="s">
        <v>444</v>
      </c>
      <c r="B158" s="61">
        <v>21</v>
      </c>
      <c r="C158" s="61"/>
    </row>
    <row r="159" spans="1:3">
      <c r="A159" s="37" t="s">
        <v>408</v>
      </c>
      <c r="B159" s="61">
        <v>22.73</v>
      </c>
      <c r="C159" s="61"/>
    </row>
    <row r="160" spans="1:3">
      <c r="A160" s="37" t="s">
        <v>400</v>
      </c>
      <c r="B160" s="61">
        <v>25.8203</v>
      </c>
      <c r="C160" s="61"/>
    </row>
    <row r="161" spans="1:3">
      <c r="A161" s="37" t="s">
        <v>401</v>
      </c>
      <c r="B161" s="61">
        <v>28.11</v>
      </c>
      <c r="C161" s="61"/>
    </row>
    <row r="162" spans="1:3">
      <c r="A162" s="37" t="s">
        <v>401</v>
      </c>
      <c r="B162" s="61">
        <v>28.11</v>
      </c>
      <c r="C162" s="61"/>
    </row>
    <row r="163" spans="1:3">
      <c r="A163" s="37" t="s">
        <v>425</v>
      </c>
      <c r="B163" s="61">
        <v>30.52</v>
      </c>
      <c r="C163" s="61"/>
    </row>
    <row r="164" spans="1:3">
      <c r="A164" s="37" t="s">
        <v>522</v>
      </c>
      <c r="B164" s="61">
        <v>31.82</v>
      </c>
      <c r="C164" s="61"/>
    </row>
    <row r="165" spans="1:3">
      <c r="A165" s="37" t="s">
        <v>394</v>
      </c>
      <c r="B165" s="61">
        <v>35.164000000000001</v>
      </c>
      <c r="C165" s="61"/>
    </row>
    <row r="166" spans="1:3">
      <c r="A166" s="37" t="s">
        <v>394</v>
      </c>
      <c r="B166" s="61">
        <v>35.164000000000001</v>
      </c>
      <c r="C166" s="61"/>
    </row>
    <row r="167" spans="1:3">
      <c r="A167" s="37" t="s">
        <v>466</v>
      </c>
      <c r="B167" s="61">
        <v>36.450000000000003</v>
      </c>
      <c r="C167" s="61"/>
    </row>
    <row r="168" spans="1:3">
      <c r="A168" s="37" t="s">
        <v>451</v>
      </c>
      <c r="B168" s="61">
        <v>47</v>
      </c>
      <c r="C168" s="61"/>
    </row>
    <row r="169" spans="1:3">
      <c r="A169" s="37" t="s">
        <v>450</v>
      </c>
      <c r="B169" s="61">
        <v>47.75</v>
      </c>
      <c r="C169" s="61"/>
    </row>
    <row r="170" spans="1:3">
      <c r="A170" s="37" t="s">
        <v>494</v>
      </c>
      <c r="B170" s="61">
        <v>65.599999999999994</v>
      </c>
      <c r="C170" s="61"/>
    </row>
    <row r="171" spans="1:3">
      <c r="A171" s="37" t="s">
        <v>408</v>
      </c>
      <c r="B171" s="61">
        <v>68.19</v>
      </c>
      <c r="C171" s="61"/>
    </row>
    <row r="172" spans="1:3">
      <c r="A172" s="37" t="s">
        <v>416</v>
      </c>
      <c r="B172" s="61">
        <v>71.400000000000006</v>
      </c>
      <c r="C172" s="61"/>
    </row>
    <row r="173" spans="1:3">
      <c r="A173" s="37" t="s">
        <v>425</v>
      </c>
      <c r="B173" s="61">
        <v>76.3</v>
      </c>
      <c r="C173" s="61"/>
    </row>
    <row r="174" spans="1:3">
      <c r="A174" s="37" t="s">
        <v>402</v>
      </c>
      <c r="B174" s="61">
        <v>83.61</v>
      </c>
      <c r="C174" s="61"/>
    </row>
    <row r="175" spans="1:3">
      <c r="A175" s="37" t="s">
        <v>434</v>
      </c>
      <c r="B175" s="61">
        <v>98.32</v>
      </c>
      <c r="C175" s="61"/>
    </row>
    <row r="176" spans="1:3">
      <c r="A176" s="37" t="s">
        <v>482</v>
      </c>
      <c r="B176" s="61">
        <v>119.7</v>
      </c>
      <c r="C176" s="61"/>
    </row>
    <row r="177" spans="1:4">
      <c r="A177" s="37" t="s">
        <v>434</v>
      </c>
      <c r="B177" s="61">
        <v>122.9</v>
      </c>
      <c r="C177" s="61"/>
    </row>
    <row r="178" spans="1:4">
      <c r="A178" s="37" t="s">
        <v>429</v>
      </c>
      <c r="B178" s="61">
        <v>129.15</v>
      </c>
      <c r="C178" s="61"/>
    </row>
    <row r="179" spans="1:4">
      <c r="A179" s="37" t="s">
        <v>406</v>
      </c>
      <c r="B179" s="61">
        <v>213.3</v>
      </c>
      <c r="C179" s="61"/>
    </row>
    <row r="180" spans="1:4">
      <c r="A180" s="37" t="s">
        <v>406</v>
      </c>
      <c r="B180" s="61">
        <v>331.8</v>
      </c>
      <c r="C180" s="61"/>
    </row>
    <row r="181" spans="1:4">
      <c r="A181" s="37" t="s">
        <v>402</v>
      </c>
      <c r="B181" s="61">
        <v>0.28000000000000003</v>
      </c>
      <c r="C181" s="61"/>
    </row>
    <row r="182" spans="1:4">
      <c r="A182" s="37" t="s">
        <v>432</v>
      </c>
      <c r="B182" s="61">
        <v>150.84</v>
      </c>
      <c r="C182" s="61"/>
    </row>
    <row r="184" spans="1:4">
      <c r="A184" s="37" t="s">
        <v>579</v>
      </c>
      <c r="B184" s="61" t="s">
        <v>577</v>
      </c>
      <c r="C184" s="37" t="s">
        <v>576</v>
      </c>
      <c r="D184" s="67" t="str">
        <f>HYPERLINK("#A7","Riepilogo")</f>
        <v>Riepilogo</v>
      </c>
    </row>
    <row r="185" spans="1:4">
      <c r="A185" t="s">
        <v>500</v>
      </c>
      <c r="B185" s="16">
        <v>2.3199999999999998</v>
      </c>
    </row>
    <row r="186" spans="1:4">
      <c r="A186" t="s">
        <v>479</v>
      </c>
      <c r="B186" s="16">
        <v>4.79</v>
      </c>
    </row>
    <row r="187" spans="1:4">
      <c r="A187" t="s">
        <v>514</v>
      </c>
      <c r="B187" s="16">
        <v>4.79</v>
      </c>
    </row>
    <row r="188" spans="1:4">
      <c r="A188" t="s">
        <v>518</v>
      </c>
      <c r="B188" s="16">
        <v>4.92</v>
      </c>
    </row>
    <row r="189" spans="1:4">
      <c r="A189" t="s">
        <v>520</v>
      </c>
      <c r="B189" s="16">
        <v>4.92</v>
      </c>
    </row>
    <row r="190" spans="1:4">
      <c r="A190" t="s">
        <v>474</v>
      </c>
      <c r="B190" s="16">
        <v>5.59</v>
      </c>
    </row>
    <row r="191" spans="1:4">
      <c r="A191" t="s">
        <v>474</v>
      </c>
      <c r="B191" s="16">
        <v>5.59</v>
      </c>
    </row>
    <row r="192" spans="1:4">
      <c r="A192" t="s">
        <v>475</v>
      </c>
      <c r="B192" s="16">
        <v>5.59</v>
      </c>
    </row>
    <row r="193" spans="1:2">
      <c r="A193" t="s">
        <v>475</v>
      </c>
      <c r="B193" s="16">
        <v>5.59</v>
      </c>
    </row>
    <row r="194" spans="1:2">
      <c r="A194" t="s">
        <v>501</v>
      </c>
      <c r="B194" s="16">
        <v>5.97</v>
      </c>
    </row>
    <row r="195" spans="1:2">
      <c r="A195" t="s">
        <v>502</v>
      </c>
      <c r="B195" s="16">
        <v>5.97</v>
      </c>
    </row>
    <row r="196" spans="1:2">
      <c r="A196" t="s">
        <v>503</v>
      </c>
      <c r="B196" s="16">
        <v>5.97</v>
      </c>
    </row>
    <row r="197" spans="1:2">
      <c r="A197" t="s">
        <v>516</v>
      </c>
      <c r="B197" s="16">
        <v>5.99</v>
      </c>
    </row>
    <row r="198" spans="1:2">
      <c r="A198" t="s">
        <v>512</v>
      </c>
      <c r="B198" s="16">
        <v>6.39</v>
      </c>
    </row>
    <row r="199" spans="1:2">
      <c r="A199" t="s">
        <v>519</v>
      </c>
      <c r="B199" s="16">
        <v>6.97</v>
      </c>
    </row>
    <row r="200" spans="1:2">
      <c r="A200" t="s">
        <v>467</v>
      </c>
      <c r="B200" s="16">
        <v>7.19</v>
      </c>
    </row>
    <row r="201" spans="1:2">
      <c r="A201" t="s">
        <v>467</v>
      </c>
      <c r="B201" s="16">
        <v>7.19</v>
      </c>
    </row>
    <row r="202" spans="1:2">
      <c r="A202" t="s">
        <v>467</v>
      </c>
      <c r="B202" s="16">
        <v>7.19</v>
      </c>
    </row>
    <row r="203" spans="1:2">
      <c r="A203" t="s">
        <v>464</v>
      </c>
      <c r="B203" s="16">
        <v>7.91</v>
      </c>
    </row>
    <row r="204" spans="1:2">
      <c r="A204" t="s">
        <v>461</v>
      </c>
      <c r="B204" s="16">
        <v>7.92</v>
      </c>
    </row>
    <row r="205" spans="1:2">
      <c r="A205" t="s">
        <v>481</v>
      </c>
      <c r="B205" s="16">
        <v>7.98</v>
      </c>
    </row>
    <row r="206" spans="1:2">
      <c r="A206" t="s">
        <v>457</v>
      </c>
      <c r="B206" s="16">
        <v>7.99</v>
      </c>
    </row>
    <row r="207" spans="1:2">
      <c r="A207" t="s">
        <v>457</v>
      </c>
      <c r="B207" s="16">
        <v>7.99</v>
      </c>
    </row>
    <row r="208" spans="1:2">
      <c r="A208" t="s">
        <v>457</v>
      </c>
      <c r="B208" s="16">
        <v>7.99</v>
      </c>
    </row>
    <row r="209" spans="1:2">
      <c r="A209" t="s">
        <v>458</v>
      </c>
      <c r="B209" s="16">
        <v>7.99</v>
      </c>
    </row>
    <row r="210" spans="1:2">
      <c r="A210" t="s">
        <v>460</v>
      </c>
      <c r="B210" s="16">
        <v>7.99</v>
      </c>
    </row>
    <row r="211" spans="1:2">
      <c r="A211" t="s">
        <v>496</v>
      </c>
      <c r="B211" s="16">
        <v>8.3699999999999992</v>
      </c>
    </row>
    <row r="212" spans="1:2">
      <c r="A212" t="s">
        <v>455</v>
      </c>
      <c r="B212" s="16">
        <v>8.4</v>
      </c>
    </row>
    <row r="213" spans="1:2">
      <c r="A213" t="s">
        <v>454</v>
      </c>
      <c r="B213" s="16">
        <v>8.7899999999999991</v>
      </c>
    </row>
    <row r="214" spans="1:2">
      <c r="A214" t="s">
        <v>452</v>
      </c>
      <c r="B214" s="16">
        <v>9.23</v>
      </c>
    </row>
    <row r="215" spans="1:2">
      <c r="A215" t="s">
        <v>497</v>
      </c>
      <c r="B215" s="16">
        <v>9.56</v>
      </c>
    </row>
    <row r="216" spans="1:2">
      <c r="A216" t="s">
        <v>514</v>
      </c>
      <c r="B216" s="16">
        <v>9.58</v>
      </c>
    </row>
    <row r="217" spans="1:2">
      <c r="A217" t="s">
        <v>448</v>
      </c>
      <c r="B217" s="16">
        <v>9.61</v>
      </c>
    </row>
    <row r="218" spans="1:2">
      <c r="A218" t="s">
        <v>448</v>
      </c>
      <c r="B218" s="16">
        <v>9.61</v>
      </c>
    </row>
    <row r="219" spans="1:2">
      <c r="A219" t="s">
        <v>447</v>
      </c>
      <c r="B219" s="16">
        <v>9.67</v>
      </c>
    </row>
    <row r="220" spans="1:2">
      <c r="A220" t="s">
        <v>513</v>
      </c>
      <c r="B220" s="16">
        <v>10.39</v>
      </c>
    </row>
    <row r="221" spans="1:2">
      <c r="A221" t="s">
        <v>513</v>
      </c>
      <c r="B221" s="16">
        <v>10.39</v>
      </c>
    </row>
    <row r="222" spans="1:2">
      <c r="A222" t="s">
        <v>443</v>
      </c>
      <c r="B222" s="16">
        <v>10.55</v>
      </c>
    </row>
    <row r="223" spans="1:2">
      <c r="A223" t="s">
        <v>439</v>
      </c>
      <c r="B223" s="16">
        <v>11.23</v>
      </c>
    </row>
    <row r="224" spans="1:2">
      <c r="A224" t="s">
        <v>503</v>
      </c>
      <c r="B224" s="16">
        <v>11.94</v>
      </c>
    </row>
    <row r="225" spans="1:2">
      <c r="A225" t="s">
        <v>497</v>
      </c>
      <c r="B225" s="16">
        <v>11.95</v>
      </c>
    </row>
    <row r="226" spans="1:2">
      <c r="A226" t="s">
        <v>497</v>
      </c>
      <c r="B226" s="16">
        <v>11.95</v>
      </c>
    </row>
    <row r="227" spans="1:2">
      <c r="A227" t="s">
        <v>433</v>
      </c>
      <c r="B227" s="16">
        <v>12.31</v>
      </c>
    </row>
    <row r="228" spans="1:2">
      <c r="A228" t="s">
        <v>472</v>
      </c>
      <c r="B228" s="16">
        <v>14.06</v>
      </c>
    </row>
    <row r="229" spans="1:2">
      <c r="A229" t="s">
        <v>468</v>
      </c>
      <c r="B229" s="16">
        <v>14.38</v>
      </c>
    </row>
    <row r="230" spans="1:2">
      <c r="A230" t="s">
        <v>465</v>
      </c>
      <c r="B230" s="16">
        <v>14.94</v>
      </c>
    </row>
    <row r="231" spans="1:2">
      <c r="A231" t="s">
        <v>426</v>
      </c>
      <c r="B231" s="16">
        <v>15.19</v>
      </c>
    </row>
    <row r="232" spans="1:2">
      <c r="A232" t="s">
        <v>486</v>
      </c>
      <c r="B232" s="16">
        <v>15.8</v>
      </c>
    </row>
    <row r="233" spans="1:2">
      <c r="A233" t="s">
        <v>423</v>
      </c>
      <c r="B233" s="16">
        <v>15.82</v>
      </c>
    </row>
    <row r="234" spans="1:2">
      <c r="A234" t="s">
        <v>423</v>
      </c>
      <c r="B234" s="16">
        <v>15.82</v>
      </c>
    </row>
    <row r="235" spans="1:2">
      <c r="A235" t="s">
        <v>464</v>
      </c>
      <c r="B235" s="16">
        <v>15.82</v>
      </c>
    </row>
    <row r="236" spans="1:2">
      <c r="A236" t="s">
        <v>459</v>
      </c>
      <c r="B236" s="16">
        <v>15.98</v>
      </c>
    </row>
    <row r="237" spans="1:2">
      <c r="A237" t="s">
        <v>456</v>
      </c>
      <c r="B237" s="16">
        <v>16.22</v>
      </c>
    </row>
    <row r="238" spans="1:2">
      <c r="A238" t="s">
        <v>420</v>
      </c>
      <c r="B238" s="16">
        <v>16.71</v>
      </c>
    </row>
    <row r="239" spans="1:2">
      <c r="A239" t="s">
        <v>418</v>
      </c>
      <c r="B239" s="16">
        <v>17.59</v>
      </c>
    </row>
    <row r="240" spans="1:2">
      <c r="A240" t="s">
        <v>419</v>
      </c>
      <c r="B240" s="16">
        <v>17.59</v>
      </c>
    </row>
    <row r="241" spans="1:2">
      <c r="A241" t="s">
        <v>415</v>
      </c>
      <c r="B241" s="16">
        <v>18.079999999999998</v>
      </c>
    </row>
    <row r="242" spans="1:2">
      <c r="A242" t="s">
        <v>414</v>
      </c>
      <c r="B242" s="16">
        <v>18.39</v>
      </c>
    </row>
    <row r="243" spans="1:2">
      <c r="A243" t="s">
        <v>452</v>
      </c>
      <c r="B243" s="16">
        <v>18.46</v>
      </c>
    </row>
    <row r="244" spans="1:2">
      <c r="A244" t="s">
        <v>413</v>
      </c>
      <c r="B244" s="16">
        <v>18.829999999999998</v>
      </c>
    </row>
    <row r="245" spans="1:2">
      <c r="A245" t="s">
        <v>498</v>
      </c>
      <c r="B245" s="16">
        <v>19.12</v>
      </c>
    </row>
    <row r="246" spans="1:2">
      <c r="A246" t="s">
        <v>445</v>
      </c>
      <c r="B246" s="16">
        <v>19.34</v>
      </c>
    </row>
    <row r="247" spans="1:2">
      <c r="A247" t="s">
        <v>409</v>
      </c>
      <c r="B247" s="16">
        <v>19.350000000000001</v>
      </c>
    </row>
    <row r="248" spans="1:2">
      <c r="A248" t="s">
        <v>410</v>
      </c>
      <c r="B248" s="16">
        <v>19.350000000000001</v>
      </c>
    </row>
    <row r="249" spans="1:2">
      <c r="A249" t="s">
        <v>411</v>
      </c>
      <c r="B249" s="16">
        <v>19.350000000000001</v>
      </c>
    </row>
    <row r="250" spans="1:2">
      <c r="A250" t="s">
        <v>486</v>
      </c>
      <c r="B250" s="16">
        <v>19.75</v>
      </c>
    </row>
    <row r="251" spans="1:2">
      <c r="A251" t="s">
        <v>442</v>
      </c>
      <c r="B251" s="16">
        <v>21.209</v>
      </c>
    </row>
    <row r="252" spans="1:2">
      <c r="A252" t="s">
        <v>440</v>
      </c>
      <c r="B252" s="16">
        <v>22.38</v>
      </c>
    </row>
    <row r="253" spans="1:2">
      <c r="A253" t="s">
        <v>407</v>
      </c>
      <c r="B253" s="16">
        <v>22.88</v>
      </c>
    </row>
    <row r="254" spans="1:2">
      <c r="A254" t="s">
        <v>435</v>
      </c>
      <c r="B254" s="16">
        <v>23.98</v>
      </c>
    </row>
    <row r="255" spans="1:2">
      <c r="A255" t="s">
        <v>456</v>
      </c>
      <c r="B255" s="16">
        <v>24.33</v>
      </c>
    </row>
    <row r="256" spans="1:2">
      <c r="A256" t="s">
        <v>433</v>
      </c>
      <c r="B256" s="16">
        <v>24.62</v>
      </c>
    </row>
    <row r="257" spans="1:2">
      <c r="A257" t="s">
        <v>405</v>
      </c>
      <c r="B257" s="16">
        <v>25.51</v>
      </c>
    </row>
    <row r="258" spans="1:2">
      <c r="A258" t="s">
        <v>404</v>
      </c>
      <c r="B258" s="16">
        <v>26.39</v>
      </c>
    </row>
    <row r="259" spans="1:2">
      <c r="A259" t="s">
        <v>403</v>
      </c>
      <c r="B259" s="16">
        <v>27.12</v>
      </c>
    </row>
    <row r="260" spans="1:2">
      <c r="A260" t="s">
        <v>515</v>
      </c>
      <c r="B260" s="16">
        <v>27.18</v>
      </c>
    </row>
    <row r="261" spans="1:2">
      <c r="A261" t="s">
        <v>483</v>
      </c>
      <c r="B261" s="16">
        <v>27.93</v>
      </c>
    </row>
    <row r="262" spans="1:2">
      <c r="A262" t="s">
        <v>484</v>
      </c>
      <c r="B262" s="16">
        <v>27.93</v>
      </c>
    </row>
    <row r="263" spans="1:2">
      <c r="A263" t="s">
        <v>485</v>
      </c>
      <c r="B263" s="16">
        <v>28.06</v>
      </c>
    </row>
    <row r="264" spans="1:2">
      <c r="A264" t="s">
        <v>470</v>
      </c>
      <c r="B264" s="16">
        <v>28.12</v>
      </c>
    </row>
    <row r="265" spans="1:2">
      <c r="A265" t="s">
        <v>427</v>
      </c>
      <c r="B265" s="16">
        <v>29.9</v>
      </c>
    </row>
    <row r="266" spans="1:2">
      <c r="A266" t="s">
        <v>397</v>
      </c>
      <c r="B266" s="16">
        <v>30</v>
      </c>
    </row>
    <row r="267" spans="1:2">
      <c r="A267" t="s">
        <v>398</v>
      </c>
      <c r="B267" s="16">
        <v>30</v>
      </c>
    </row>
    <row r="268" spans="1:2">
      <c r="A268" t="s">
        <v>396</v>
      </c>
      <c r="B268" s="16">
        <v>30.8</v>
      </c>
    </row>
    <row r="269" spans="1:2">
      <c r="A269" t="s">
        <v>462</v>
      </c>
      <c r="B269" s="16">
        <v>31.64</v>
      </c>
    </row>
    <row r="270" spans="1:2">
      <c r="A270" t="s">
        <v>437</v>
      </c>
      <c r="B270" s="16">
        <v>34.29</v>
      </c>
    </row>
    <row r="271" spans="1:2">
      <c r="A271" t="s">
        <v>395</v>
      </c>
      <c r="B271" s="16">
        <v>34.979999999999997</v>
      </c>
    </row>
    <row r="272" spans="1:2">
      <c r="A272" t="s">
        <v>412</v>
      </c>
      <c r="B272" s="16">
        <v>37.840000000000003</v>
      </c>
    </row>
    <row r="273" spans="1:2">
      <c r="A273" t="s">
        <v>412</v>
      </c>
      <c r="B273" s="16">
        <v>37.840000000000003</v>
      </c>
    </row>
    <row r="274" spans="1:2">
      <c r="A274" t="s">
        <v>412</v>
      </c>
      <c r="B274" s="16">
        <v>37.840000000000003</v>
      </c>
    </row>
    <row r="275" spans="1:2">
      <c r="A275" t="s">
        <v>449</v>
      </c>
      <c r="B275" s="16">
        <v>38.200000000000003</v>
      </c>
    </row>
    <row r="276" spans="1:2">
      <c r="A276" t="s">
        <v>446</v>
      </c>
      <c r="B276" s="16">
        <v>38.68</v>
      </c>
    </row>
    <row r="277" spans="1:2">
      <c r="A277" t="s">
        <v>462</v>
      </c>
      <c r="B277" s="16">
        <v>39.549999999999997</v>
      </c>
    </row>
    <row r="278" spans="1:2">
      <c r="A278" t="s">
        <v>462</v>
      </c>
      <c r="B278" s="16">
        <v>39.549999999999997</v>
      </c>
    </row>
    <row r="279" spans="1:2">
      <c r="A279" t="s">
        <v>463</v>
      </c>
      <c r="B279" s="16">
        <v>39.549999999999997</v>
      </c>
    </row>
    <row r="280" spans="1:2">
      <c r="A280" t="s">
        <v>392</v>
      </c>
      <c r="B280" s="16">
        <v>43.12</v>
      </c>
    </row>
    <row r="281" spans="1:2">
      <c r="A281" t="s">
        <v>523</v>
      </c>
      <c r="B281" s="16">
        <v>43.91</v>
      </c>
    </row>
    <row r="282" spans="1:2">
      <c r="A282" t="s">
        <v>465</v>
      </c>
      <c r="B282" s="16">
        <v>44.82</v>
      </c>
    </row>
    <row r="283" spans="1:2">
      <c r="A283" t="s">
        <v>390</v>
      </c>
      <c r="B283" s="16">
        <v>52.8</v>
      </c>
    </row>
    <row r="284" spans="1:2">
      <c r="A284" t="s">
        <v>389</v>
      </c>
      <c r="B284" s="16">
        <v>57.19</v>
      </c>
    </row>
    <row r="285" spans="1:2">
      <c r="A285" t="s">
        <v>469</v>
      </c>
      <c r="B285" s="16">
        <v>57.52</v>
      </c>
    </row>
    <row r="286" spans="1:2">
      <c r="A286" t="s">
        <v>399</v>
      </c>
      <c r="B286" s="16">
        <v>57.56</v>
      </c>
    </row>
    <row r="287" spans="1:2">
      <c r="A287" t="s">
        <v>387</v>
      </c>
      <c r="B287" s="16">
        <v>61.393000000000001</v>
      </c>
    </row>
    <row r="288" spans="1:2">
      <c r="A288" t="s">
        <v>424</v>
      </c>
      <c r="B288" s="16">
        <v>63.16</v>
      </c>
    </row>
    <row r="289" spans="1:4">
      <c r="A289" t="s">
        <v>386</v>
      </c>
      <c r="B289" s="16">
        <v>63.27</v>
      </c>
    </row>
    <row r="290" spans="1:4">
      <c r="A290" t="s">
        <v>471</v>
      </c>
      <c r="B290" s="16">
        <v>70.3</v>
      </c>
    </row>
    <row r="291" spans="1:4">
      <c r="A291" t="s">
        <v>430</v>
      </c>
      <c r="B291" s="16">
        <v>71.75</v>
      </c>
    </row>
    <row r="292" spans="1:4">
      <c r="A292" t="s">
        <v>428</v>
      </c>
      <c r="B292" s="16">
        <v>73.400000000000006</v>
      </c>
    </row>
    <row r="293" spans="1:4">
      <c r="A293" t="s">
        <v>417</v>
      </c>
      <c r="B293" s="16">
        <v>87.95</v>
      </c>
    </row>
    <row r="294" spans="1:4">
      <c r="A294" t="s">
        <v>417</v>
      </c>
      <c r="B294" s="16">
        <v>87.95</v>
      </c>
    </row>
    <row r="295" spans="1:4">
      <c r="A295" t="s">
        <v>428</v>
      </c>
      <c r="B295" s="16">
        <v>88.08</v>
      </c>
    </row>
    <row r="296" spans="1:4">
      <c r="A296" t="s">
        <v>422</v>
      </c>
      <c r="B296" s="16">
        <v>96</v>
      </c>
    </row>
    <row r="297" spans="1:4">
      <c r="A297" t="s">
        <v>421</v>
      </c>
      <c r="B297" s="16">
        <v>100.26</v>
      </c>
    </row>
    <row r="298" spans="1:4">
      <c r="A298" t="s">
        <v>383</v>
      </c>
      <c r="B298" s="16">
        <v>100.76</v>
      </c>
    </row>
    <row r="299" spans="1:4">
      <c r="A299" t="s">
        <v>382</v>
      </c>
      <c r="B299" s="16">
        <v>104.72</v>
      </c>
    </row>
    <row r="300" spans="1:4">
      <c r="A300" t="s">
        <v>438</v>
      </c>
      <c r="B300" s="16">
        <v>114.3</v>
      </c>
    </row>
    <row r="301" spans="1:4">
      <c r="A301" t="s">
        <v>388</v>
      </c>
      <c r="B301" s="16">
        <v>114.38</v>
      </c>
    </row>
    <row r="303" spans="1:4">
      <c r="A303" s="37" t="s">
        <v>598</v>
      </c>
      <c r="B303" s="16" t="s">
        <v>577</v>
      </c>
      <c r="C303" t="s">
        <v>576</v>
      </c>
      <c r="D303" s="67" t="str">
        <f>HYPERLINK("#A7","Riepilogo")</f>
        <v>Riepilogo</v>
      </c>
    </row>
    <row r="304" spans="1:4">
      <c r="A304" t="s">
        <v>353</v>
      </c>
      <c r="B304" s="16">
        <v>3605.77</v>
      </c>
    </row>
    <row r="305" spans="1:2">
      <c r="A305" t="s">
        <v>354</v>
      </c>
      <c r="B305" s="16">
        <v>3605.77</v>
      </c>
    </row>
    <row r="306" spans="1:2">
      <c r="A306" t="s">
        <v>380</v>
      </c>
      <c r="B306" s="16">
        <v>120</v>
      </c>
    </row>
    <row r="307" spans="1:2">
      <c r="A307" t="s">
        <v>381</v>
      </c>
      <c r="B307" s="16">
        <v>120</v>
      </c>
    </row>
    <row r="308" spans="1:2">
      <c r="A308" t="s">
        <v>578</v>
      </c>
      <c r="B308" s="16">
        <v>1063.93</v>
      </c>
    </row>
    <row r="309" spans="1:2">
      <c r="A309" t="s">
        <v>371</v>
      </c>
      <c r="B309" s="16">
        <v>300</v>
      </c>
    </row>
    <row r="310" spans="1:2">
      <c r="A310" t="s">
        <v>504</v>
      </c>
      <c r="B310" s="16">
        <v>297.3</v>
      </c>
    </row>
    <row r="311" spans="1:2">
      <c r="A311" t="s">
        <v>632</v>
      </c>
      <c r="B311" s="61">
        <v>100</v>
      </c>
    </row>
    <row r="312" spans="1:2">
      <c r="A312" t="s">
        <v>633</v>
      </c>
      <c r="B312" s="61">
        <v>0</v>
      </c>
    </row>
    <row r="313" spans="1:2">
      <c r="A313" t="s">
        <v>634</v>
      </c>
      <c r="B313" s="61">
        <v>32</v>
      </c>
    </row>
    <row r="314" spans="1:2">
      <c r="A314" t="s">
        <v>635</v>
      </c>
      <c r="B314" s="61">
        <v>120</v>
      </c>
    </row>
    <row r="315" spans="1:2">
      <c r="A315" t="s">
        <v>636</v>
      </c>
      <c r="B315" s="61">
        <v>300</v>
      </c>
    </row>
    <row r="316" spans="1:2">
      <c r="A316" t="s">
        <v>637</v>
      </c>
      <c r="B316" s="61">
        <v>600</v>
      </c>
    </row>
    <row r="317" spans="1:2">
      <c r="A317" t="s">
        <v>638</v>
      </c>
      <c r="B317" s="61">
        <v>-400</v>
      </c>
    </row>
    <row r="318" spans="1:2">
      <c r="A318" t="s">
        <v>633</v>
      </c>
      <c r="B318" s="61">
        <v>0</v>
      </c>
    </row>
    <row r="319" spans="1:2">
      <c r="A319" t="s">
        <v>634</v>
      </c>
      <c r="B319" s="61">
        <v>12</v>
      </c>
    </row>
    <row r="320" spans="1:2">
      <c r="A320" t="s">
        <v>639</v>
      </c>
      <c r="B320" s="61">
        <v>300</v>
      </c>
    </row>
  </sheetData>
  <phoneticPr fontId="18" type="noConversion"/>
  <pageMargins left="0.7" right="0.7" top="0.75" bottom="0.75" header="0.3" footer="0.3"/>
  <pageSetup paperSize="9" scale="63" fitToHeight="0" orientation="portrait" r:id="rId1"/>
  <ignoredErrors>
    <ignoredError sqref="E18" calculatedColumn="1"/>
  </ignoredErrors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29</vt:i4>
      </vt:variant>
    </vt:vector>
  </HeadingPairs>
  <TitlesOfParts>
    <vt:vector size="29" baseType="lpstr">
      <vt:lpstr>CHIUSURA</vt:lpstr>
      <vt:lpstr>Pivot_Antipasti_Qta</vt:lpstr>
      <vt:lpstr>Pivot_Dolci_Qta</vt:lpstr>
      <vt:lpstr>Pivot_Cat_€</vt:lpstr>
      <vt:lpstr>Pivot_Prod_€</vt:lpstr>
      <vt:lpstr>Pivot_Primi_Qta</vt:lpstr>
      <vt:lpstr>Pivot_Secondi_Qta </vt:lpstr>
      <vt:lpstr>Pivot_Pizze_Qta</vt:lpstr>
      <vt:lpstr>Pivot_Hamburger_Qta</vt:lpstr>
      <vt:lpstr>Margine_Cat.</vt:lpstr>
      <vt:lpstr>Pivot_Caffetteria_Qta</vt:lpstr>
      <vt:lpstr>Pivot_Vini_Bianchi_Qta</vt:lpstr>
      <vt:lpstr>Pivot_Spumanti_Prosecco_Qta</vt:lpstr>
      <vt:lpstr>MARGINE_DRINK</vt:lpstr>
      <vt:lpstr>MARGINE_PRIMI</vt:lpstr>
      <vt:lpstr>MARGINE_SECONDI</vt:lpstr>
      <vt:lpstr>MARGINE_PIZZE</vt:lpstr>
      <vt:lpstr>MARGINE_HAMBURGER</vt:lpstr>
      <vt:lpstr>MARGINE_ANTIPASTI</vt:lpstr>
      <vt:lpstr>MARGINE_DOLCI</vt:lpstr>
      <vt:lpstr>MARGINE_CAFFETTERIA</vt:lpstr>
      <vt:lpstr>MARGINE_VINI_BIANCHI</vt:lpstr>
      <vt:lpstr>MARGINE_VINI_ROSSI_ROSATI</vt:lpstr>
      <vt:lpstr>MARGINE_SPUMANTI_PROSECCO</vt:lpstr>
      <vt:lpstr>PIVOT CAT QTA</vt:lpstr>
      <vt:lpstr>BIRRA</vt:lpstr>
      <vt:lpstr>BIRRA_MARGINE</vt:lpstr>
      <vt:lpstr>FOOD-DRINK COST</vt:lpstr>
      <vt:lpstr>COSTI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FABRIZIO LEDDA</cp:lastModifiedBy>
  <cp:lastPrinted>2026-02-04T15:27:43Z</cp:lastPrinted>
  <dcterms:created xsi:type="dcterms:W3CDTF">2025-07-05T09:01:32Z</dcterms:created>
  <dcterms:modified xsi:type="dcterms:W3CDTF">2026-02-24T08:36:09Z</dcterms:modified>
</cp:coreProperties>
</file>